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uslindquist/Desktop/"/>
    </mc:Choice>
  </mc:AlternateContent>
  <xr:revisionPtr revIDLastSave="0" documentId="13_ncr:1_{9EA19668-D12C-F34C-9985-E6E1BFC8FB3C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NAIO1F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2" l="1"/>
  <c r="H100" i="2"/>
  <c r="I123" i="2"/>
  <c r="G185" i="2"/>
  <c r="H191" i="2"/>
  <c r="H199" i="2"/>
  <c r="H200" i="2"/>
  <c r="H198" i="2"/>
  <c r="H197" i="2"/>
  <c r="H196" i="2"/>
  <c r="H195" i="2"/>
  <c r="H194" i="2"/>
  <c r="H193" i="2"/>
  <c r="H192" i="2"/>
  <c r="H122" i="2"/>
  <c r="G201" i="2"/>
  <c r="H123" i="2"/>
  <c r="G191" i="2"/>
  <c r="K28" i="2"/>
  <c r="H276" i="2"/>
  <c r="G275" i="2"/>
  <c r="G285" i="2"/>
  <c r="G284" i="2"/>
  <c r="G283" i="2"/>
  <c r="G282" i="2"/>
  <c r="G281" i="2"/>
  <c r="G280" i="2"/>
  <c r="G279" i="2"/>
  <c r="G253" i="2"/>
  <c r="G270" i="2"/>
  <c r="G254" i="2"/>
  <c r="G123" i="2"/>
  <c r="J23" i="2"/>
  <c r="J22" i="2"/>
  <c r="K23" i="2"/>
  <c r="C122" i="2"/>
  <c r="C5" i="2"/>
  <c r="G186" i="2"/>
  <c r="G4" i="2"/>
  <c r="H255" i="2" l="1"/>
  <c r="H254" i="2"/>
</calcChain>
</file>

<file path=xl/sharedStrings.xml><?xml version="1.0" encoding="utf-8"?>
<sst xmlns="http://schemas.openxmlformats.org/spreadsheetml/2006/main" count="543" uniqueCount="207">
  <si>
    <t>Input-output tabel. Tilgang fra brancher fordelt på anvendelse og prisenhed. (69-gruppering) efter prisenhed, tilgang fra branche, tilgangstype, anvendelse og tid</t>
  </si>
  <si>
    <t>Enhed: Mio. kr.</t>
  </si>
  <si>
    <t>2024</t>
  </si>
  <si>
    <t>Løbende priser</t>
  </si>
  <si>
    <t>I alt-(Tilgang)</t>
  </si>
  <si>
    <t>Dansk produktion</t>
  </si>
  <si>
    <t>Anvendelse, i alt-(Anvendelse)</t>
  </si>
  <si>
    <t>Forbrug i produktionen, i alt-(Anvendelse)</t>
  </si>
  <si>
    <t>A Landbrug, skovbrug og fiskeri- (Anvendelse)</t>
  </si>
  <si>
    <t>01000 Landbrug og gartneri- (Anvendelse)</t>
  </si>
  <si>
    <t>02000 Skovbrug- (Anvendelse)</t>
  </si>
  <si>
    <t>03000 Fiskeri- (Anvendelse)</t>
  </si>
  <si>
    <t>B Råstofindvinding- (Anvendelse)</t>
  </si>
  <si>
    <t>06090 Råstofindvinding- (Anvendelse)</t>
  </si>
  <si>
    <t>C Industri- (Anvendelse)</t>
  </si>
  <si>
    <t>CA Føde-, drikke- og tobaksvareindustri- (Anvendelse)</t>
  </si>
  <si>
    <t>10120 Føde-, drikke- og tobaksvareindustri- (Anvendelse)</t>
  </si>
  <si>
    <t>CB Tekstil- og læderindustri- (Anvendelse)</t>
  </si>
  <si>
    <t>13150 Tekstil- og læderindustri- (Anvendelse)</t>
  </si>
  <si>
    <t>CC Træ- og papirindustri, trykkerier- (Anvendelse)</t>
  </si>
  <si>
    <t>16000 Træindustri- (Anvendelse)</t>
  </si>
  <si>
    <t>17000 Papirindustri- (Anvendelse)</t>
  </si>
  <si>
    <t>18000 Trykkerier mv.- (Anvendelse)</t>
  </si>
  <si>
    <t>CD Olieraffinaderier mv.- (Anvendelse)</t>
  </si>
  <si>
    <t>19000 Olieraffinaderier mv.- (Anvendelse)</t>
  </si>
  <si>
    <t>CE Kemisk industri- (Anvendelse)</t>
  </si>
  <si>
    <t>20000 Kemisk industri- (Anvendelse)</t>
  </si>
  <si>
    <t>CF Medicinalindustri- (Anvendelse)</t>
  </si>
  <si>
    <t>21000 Medicinalindustri- (Anvendelse)</t>
  </si>
  <si>
    <t>CG Plast-, glas- og betonindustri- (Anvendelse)</t>
  </si>
  <si>
    <t>22000 Plast- og gummiindustri- (Anvendelse)</t>
  </si>
  <si>
    <t>23000 Glas- og betonindustri- (Anvendelse)</t>
  </si>
  <si>
    <t>CH Metalindustri- (Anvendelse)</t>
  </si>
  <si>
    <t>24000 Fremst. af metal- (Anvendelse)</t>
  </si>
  <si>
    <t>25000 Metalvareindustri- (Anvendelse)</t>
  </si>
  <si>
    <t>CI Elektronikindustri- (Anvendelse)</t>
  </si>
  <si>
    <t>26000 Elektronikindustri- (Anvendelse)</t>
  </si>
  <si>
    <t>CJ Fremst. af elektrisk udstyr- (Anvendelse)</t>
  </si>
  <si>
    <t>27000 Fremst. af elektrisk udstyr- (Anvendelse)</t>
  </si>
  <si>
    <t>CK Maskinindustri- (Anvendelse)</t>
  </si>
  <si>
    <t>28000 Maskinindustri- (Anvendelse)</t>
  </si>
  <si>
    <t>CL Transportmiddelindustri- (Anvendelse)</t>
  </si>
  <si>
    <t>29000 Fremst. af motorkøretøjer og dele hertil- (Anvendelse)</t>
  </si>
  <si>
    <t>30000 Fremst. af skibe og andre transportmidler- (Anvendelse)</t>
  </si>
  <si>
    <t>CM Møbel- og anden industri mv.- (Anvendelse)</t>
  </si>
  <si>
    <t>31320 Møbel- og anden industri- (Anvendelse)</t>
  </si>
  <si>
    <t>33000 Reparation og installation af maskiner og udstyr- (Anvendelse)</t>
  </si>
  <si>
    <t>D_E Forsyningsvirksomhed- (Anvendelse)</t>
  </si>
  <si>
    <t>D Energiforsyning- (Anvendelse)</t>
  </si>
  <si>
    <t>35000 Energiforsyning- (Anvendelse)</t>
  </si>
  <si>
    <t>E Vandforsyning og renovation- (Anvendelse)</t>
  </si>
  <si>
    <t>36000 Vandforsyning- (Anvendelse)</t>
  </si>
  <si>
    <t>37390 Renovation, affaldsbehandling mv.- (Anvendelse)</t>
  </si>
  <si>
    <t>F Bygge og anlæg- (Anvendelse)</t>
  </si>
  <si>
    <t>41430 Bygge og anlæg- (Anvendelse)</t>
  </si>
  <si>
    <t>G_I Handel og transport mv.- (Anvendelse)</t>
  </si>
  <si>
    <t>G Handel- (Anvendelse)</t>
  </si>
  <si>
    <t>45000 Bilhandel og -værksteder mv.- (Anvendelse)</t>
  </si>
  <si>
    <t>46000 Engroshandel- (Anvendelse)</t>
  </si>
  <si>
    <t>47000 Detailhandel- (Anvendelse)</t>
  </si>
  <si>
    <t>H Transport- (Anvendelse)</t>
  </si>
  <si>
    <t>49000 Landtransport- (Anvendelse)</t>
  </si>
  <si>
    <t>50000 Skibsfart- (Anvendelse)</t>
  </si>
  <si>
    <t>51000 Luftfart- (Anvendelse)</t>
  </si>
  <si>
    <t>52000 Hjælpevirksomhed til transport- (Anvendelse)</t>
  </si>
  <si>
    <t>53000 Post og kurertjeneste- (Anvendelse)</t>
  </si>
  <si>
    <t>I Hoteller og restauranter- (Anvendelse)</t>
  </si>
  <si>
    <t>55560 Hoteller og restauranter- (Anvendelse)</t>
  </si>
  <si>
    <t>J Information og kommunikation- (Anvendelse)</t>
  </si>
  <si>
    <t>JA Forlag, tv og radio- (Anvendelse)</t>
  </si>
  <si>
    <t>58000 Udgivervirksomhed- (Anvendelse)</t>
  </si>
  <si>
    <t>59600 Radio- og tv-stationer samt produktion af film, tv, mus- (Anvendelse)</t>
  </si>
  <si>
    <t>JB Telekommunikation- (Anvendelse)</t>
  </si>
  <si>
    <t>61000 Telekommunikation- (Anvendelse)</t>
  </si>
  <si>
    <t>JC It- og informationstjenester- (Anvendelse)</t>
  </si>
  <si>
    <t>62630 It- og informationstjenester- (Anvendelse)</t>
  </si>
  <si>
    <t>K Finansiering og forsikring- (Anvendelse)</t>
  </si>
  <si>
    <t>64000 Finansiel virksomhed- (Anvendelse)</t>
  </si>
  <si>
    <t>65000 Forsikring og pension- (Anvendelse)</t>
  </si>
  <si>
    <t>66000 Finansiel service- (Anvendelse)</t>
  </si>
  <si>
    <t>LA Ejendomshandel og udlejning af erhvervsejendomme- (Anvendelse)</t>
  </si>
  <si>
    <t>68100 Ejendomsmæglere mv.- (Anvendelse)</t>
  </si>
  <si>
    <t>68300 Udlejning af erhvervsejendomme- (Anvendelse)</t>
  </si>
  <si>
    <t>LB Boliger- (Anvendelse)</t>
  </si>
  <si>
    <t>68203 Boliger, husleje i lejeboliger- (Anvendelse)</t>
  </si>
  <si>
    <t>68204 Boliger, ejerboliger mv.- (Anvendelse)</t>
  </si>
  <si>
    <t>M_N Erhvervsservice- (Anvendelse)</t>
  </si>
  <si>
    <t>M Videnservice- (Anvendelse)</t>
  </si>
  <si>
    <t>MA Rådgivning mv.- (Anvendelse)</t>
  </si>
  <si>
    <t>69700 Advokater, revisorer og virksomhedskonsulenter- (Anvendelse)</t>
  </si>
  <si>
    <t>71000 Arkitekter og rådgivende ingeniører- (Anvendelse)</t>
  </si>
  <si>
    <t>MB Forskning og udvikling- (Anvendelse)</t>
  </si>
  <si>
    <t>72001 Forskning og udvikling, markedsmæssig- (Anvendelse)</t>
  </si>
  <si>
    <t>72002 Forskning og udvikling, ikke-markedsmæssig- (Anvendelse)</t>
  </si>
  <si>
    <t>MC Reklame og øvrige erhvervsservice- (Anvendelse)</t>
  </si>
  <si>
    <t>73000 Reklame- og analysebureauer- (Anvendelse)</t>
  </si>
  <si>
    <t>74750 Dyrlæger og anden videnservice- (Anvendelse)</t>
  </si>
  <si>
    <t>N Rejsebureauer, rengøring og anden operationel service- (Anvendelse)</t>
  </si>
  <si>
    <t>77000 Udlejning og leasing af materiel- (Anvendelse)</t>
  </si>
  <si>
    <t>78000 Arbejdsformidling og vikarbureauer- (Anvendelse)</t>
  </si>
  <si>
    <t>79000 Rejsebureauer- (Anvendelse)</t>
  </si>
  <si>
    <t>80820 Rengøring og anden operationel service- (Anvendelse)</t>
  </si>
  <si>
    <t>O_Q Offentlig administration, undervisning og sundhed- (Anvendelse)</t>
  </si>
  <si>
    <t>O Offentlig administration, forsvar og politi- (Anvendelse)</t>
  </si>
  <si>
    <t>84202 Offentlig administration mv.- (Anvendelse)</t>
  </si>
  <si>
    <t>84101 Redningskorps mv., markedsmæssig- (Anvendelse)</t>
  </si>
  <si>
    <t>P Undervisning- (Anvendelse)</t>
  </si>
  <si>
    <t>85202 Undervisning, ikke-markedsmæssig- (Anvendelse)</t>
  </si>
  <si>
    <t>85101 Voksenundervisning mv., markedsmæssig- (Anvendelse)</t>
  </si>
  <si>
    <t>Q Sundhed og socialvæsen- (Anvendelse)</t>
  </si>
  <si>
    <t>QA Sundhedsvæsen- (Anvendelse)</t>
  </si>
  <si>
    <t>86000 Sundhedsvæsen- (Anvendelse)</t>
  </si>
  <si>
    <t>QB Sociale institutioner- (Anvendelse)</t>
  </si>
  <si>
    <t>87880 Sociale institutioner- (Anvendelse)</t>
  </si>
  <si>
    <t>R_S Kultur, fritid og anden service- (Anvendelse)</t>
  </si>
  <si>
    <t>R Kultur og fritid- (Anvendelse)</t>
  </si>
  <si>
    <t>90920 Kunst, kultur og spil- (Anvendelse)</t>
  </si>
  <si>
    <t>93000 Sport, forlystelsesparker og andre fritidsaktiviteter- (Anvendelse)</t>
  </si>
  <si>
    <t>SA Andre serviceydelser- (Anvendelse)</t>
  </si>
  <si>
    <t>94000 Organisationer og foreninger- (Anvendelse)</t>
  </si>
  <si>
    <t>95000 Reparation af husholdningsudstyr- (Anvendelse)</t>
  </si>
  <si>
    <t>96000 Frisører, vaskerier og andre serviceydelser- (Anvendelse)</t>
  </si>
  <si>
    <t>SB Private husholdninger med ansat medhjælp- (Anvendelse)</t>
  </si>
  <si>
    <t>97000 Private husholdninger med ansat medhjælp- (Anvendelse)</t>
  </si>
  <si>
    <t>Endelig anvendelse i alt-(Anvendelse)</t>
  </si>
  <si>
    <t>Husholdningernes forbrugsudgifter (Anvendelse)</t>
  </si>
  <si>
    <t>A Fødevarer mv. - (Anvendelse)</t>
  </si>
  <si>
    <t>0113 Fødevarer mv. - (Anvendelse)</t>
  </si>
  <si>
    <t>B Drikkevarer og tobak mv. - (Anvendelse)</t>
  </si>
  <si>
    <t>0120 Ikke-alkoholiske drikkevarer - (Anvendelse)</t>
  </si>
  <si>
    <t>0212 Alkoholiske drikkevarer - (Anvendelse)</t>
  </si>
  <si>
    <t>0290 Tobak mv. - (Anvendelse)</t>
  </si>
  <si>
    <t>C Beklædning og fodtøj - (Anvendelse)</t>
  </si>
  <si>
    <t>0310 Beklædning, vask og rens - (Anvendelse)</t>
  </si>
  <si>
    <t>0320 Fodtøj - (Anvendelse)</t>
  </si>
  <si>
    <t>D Boligbenyttelse - (Anvendelse)</t>
  </si>
  <si>
    <t>0410 Husleje - (Anvendelse)</t>
  </si>
  <si>
    <t>0420 Beregnet husleje af egen bolig - (Anvendelse)</t>
  </si>
  <si>
    <t>0430 Reparation og vedl. af bolig - (Anvendelse)</t>
  </si>
  <si>
    <t>0440 Vandforsyning, renovation mv. - (Anvendelse)</t>
  </si>
  <si>
    <t>E Elektricitet, fjernvarme og andet brændsel - (Anvendelse)</t>
  </si>
  <si>
    <t>0450 Elektricitet, fjernvarme og andet brændsel - (Anvendelse)</t>
  </si>
  <si>
    <t>F Boligudstyr, husholdningstjenester mv. - (Anvendelse)</t>
  </si>
  <si>
    <t>0510 Møbler og gulvtæpper mv. - (Anvendelse)</t>
  </si>
  <si>
    <t>0520 Boligtekstiler - (Anvendelse)</t>
  </si>
  <si>
    <t>0530 Husholdsapparater og vedligeholdelse heraf - (Anvendelse)</t>
  </si>
  <si>
    <t>0540 Glas, service og husholdningsredskaber - (Anvendelse)</t>
  </si>
  <si>
    <t>0550 Værktøj og udstyr til hus og have - (Anvendelse)</t>
  </si>
  <si>
    <t>0560 Andre varer og tjenester til husholdningen - (Anvendelse)</t>
  </si>
  <si>
    <t>G Medicin, lægeudgifter o.l. - (Anvendelse)</t>
  </si>
  <si>
    <t>0610 Medicinske produkter, apparater og medicinsk udstyr - (Anvendelse)</t>
  </si>
  <si>
    <t>0620 Læge, tandlæge mv. - (Anvendelse)</t>
  </si>
  <si>
    <t>0634 Hospitalers tjenesteydelser - (Anvendelse)</t>
  </si>
  <si>
    <t>H Køb af køretøjer - (Anvendelse)</t>
  </si>
  <si>
    <t>0710 Køb af køretøjer - (Anvendelse)</t>
  </si>
  <si>
    <t>I Drift af køretøjer og transporttjenester - (Anvendelse)</t>
  </si>
  <si>
    <t>0720 Drift af køretøjer - (Anvendelse)</t>
  </si>
  <si>
    <t>0730 Persontransport - (Anvendelse)</t>
  </si>
  <si>
    <t>0740 Varetransport - (Anvendelse)</t>
  </si>
  <si>
    <t>J Information og kommunikation - (Anvendelse)</t>
  </si>
  <si>
    <t>0810 It-, tele-, lyd- og billedudstyr - (Anvendelse)</t>
  </si>
  <si>
    <t>0820 Software - (Anvendelse)</t>
  </si>
  <si>
    <t>0830 Informations- og kommunikationstjenester - (Anvendelse)</t>
  </si>
  <si>
    <t>K Fritid, sport og kultur - (Anvendelse)</t>
  </si>
  <si>
    <t>0910 Fotoudstyr, både, campingvogne mv - (Anvendelse)</t>
  </si>
  <si>
    <t>0920 Sportsudst.legetøj, kæledyr mv. - (Anvendelse)</t>
  </si>
  <si>
    <t>0930 Have og kæledyr - (Anvendelse)</t>
  </si>
  <si>
    <t>0940 Fritidstjenester - (Anvendelse)</t>
  </si>
  <si>
    <t>0950 Musikinstrumenter og lyd - (Anvendelse)</t>
  </si>
  <si>
    <t>0960 Biografer, museum mv. - (Anvendelse)</t>
  </si>
  <si>
    <t>0970 Bøger, aviser, papir, skriveudstyr mv. - (Anvendelse)</t>
  </si>
  <si>
    <t>0980 Pakkede ferierejser - (Anvendelse)</t>
  </si>
  <si>
    <t>L Undervisning - (Anvendelse)</t>
  </si>
  <si>
    <t>1000 Undervisning - (Anvendelse)</t>
  </si>
  <si>
    <t>M Restauranter og hoteller - (Anvendelse)</t>
  </si>
  <si>
    <t>1110 Udgifter på restauranter mv. - (Anvendelse)</t>
  </si>
  <si>
    <t>1120 Udgifter på hoteller mv. - (Anvendelse)</t>
  </si>
  <si>
    <t>N Forsikring og finansielle tjenester - (Anvendelse)</t>
  </si>
  <si>
    <t>1210 Forsikring - (Anvendelse)</t>
  </si>
  <si>
    <t>1220 Finansielle tjenesteydelser - (Anvendelse)</t>
  </si>
  <si>
    <t>O Andre varer og tjenester - (Anvendelse)</t>
  </si>
  <si>
    <t>1310 Toiletartikler, barbermask.mv, frisører - (Anvendelse)</t>
  </si>
  <si>
    <t>1320 Andre personlige artikler - (Anvendelse)</t>
  </si>
  <si>
    <t>1330 Daginstitutioner, plejehjem - (Anvendelse)</t>
  </si>
  <si>
    <t>1390 Andre tjenesteydelser - (Anvendelse)</t>
  </si>
  <si>
    <t>998 Turistindtægter mv.-(Anvendelse)</t>
  </si>
  <si>
    <t>999 Turistudgifter mv.-(Anvendelse)</t>
  </si>
  <si>
    <t>NPISH i alt - (Anvendelse)</t>
  </si>
  <si>
    <t>Offentligt forbrug, i alt-(Anvendelse)</t>
  </si>
  <si>
    <t>Individuelt offentligt forbrug, i alt-(Anvendelse)</t>
  </si>
  <si>
    <t>Markedsmæssigt individuelt offentligt forbrug, i alt-(Anvendelse)</t>
  </si>
  <si>
    <t>Ikke-markedsmæssigt individuelt offentlig forbrug, i alt-(Anvendelse)</t>
  </si>
  <si>
    <t>Kollektivt offentligt forbrug, i alt-(Anvendelse)</t>
  </si>
  <si>
    <t>Faste bruttoinvesteringer ialt - (Anvendelse)</t>
  </si>
  <si>
    <t>Boliger - (Anvendelse)</t>
  </si>
  <si>
    <t>Andre bygninger - (Anvendelse)</t>
  </si>
  <si>
    <t>Anlæg - (Anvendelse)</t>
  </si>
  <si>
    <t>Transportmidler - (Anvendelse)</t>
  </si>
  <si>
    <t>ICT udstyr, andre maskiner og inventar samt våbensystemer - (Anvendelse)</t>
  </si>
  <si>
    <t>Investering i ændring i dyrkede aktiver - (Anvendelse)</t>
  </si>
  <si>
    <t>Intellektuelle rettigheder - (Anvendelse)</t>
  </si>
  <si>
    <t>Lagre - (Anvendelse)</t>
  </si>
  <si>
    <t>Værdigenstande - (Anvendelse)</t>
  </si>
  <si>
    <t>Eksport - (Anvendelse)</t>
  </si>
  <si>
    <t>Import inkl. told</t>
  </si>
  <si>
    <t>domestic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</si>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</sst>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r_._-;\-* #,##0.00\ _k_r_._-;_-* &quot;-&quot;??\ _k_r_._-;_-@_-"/>
  </numFmts>
  <fonts count="5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43" fontId="0" fillId="0" borderId="0" xfId="1" applyFont="1"/>
    <xf numFmtId="0" fontId="0" fillId="0" borderId="0" xfId="0" applyAlignment="1">
      <alignment horizontal="left"/>
    </xf>
    <xf numFmtId="43" fontId="0" fillId="0" borderId="0" xfId="1" applyFont="1" applyAlignment="1">
      <alignment horizontal="right"/>
    </xf>
    <xf numFmtId="43" fontId="0" fillId="0" borderId="0" xfId="0" applyNumberForma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1"/>
  <sheetViews>
    <sheetView tabSelected="1" topLeftCell="B90" zoomScale="182" zoomScaleNormal="125" workbookViewId="0">
      <selection activeCell="H102" sqref="H102"/>
    </sheetView>
  </sheetViews>
  <sheetFormatPr baseColWidth="10" defaultColWidth="8.83203125" defaultRowHeight="15" x14ac:dyDescent="0.2"/>
  <cols>
    <col min="1" max="1" width="16" customWidth="1"/>
    <col min="2" max="2" width="14.6640625" customWidth="1"/>
    <col min="3" max="4" width="18.5" customWidth="1"/>
    <col min="5" max="5" width="61.33203125" bestFit="1" customWidth="1"/>
    <col min="6" max="6" width="13.5" customWidth="1"/>
    <col min="7" max="7" width="12.6640625" style="5" bestFit="1" customWidth="1"/>
    <col min="8" max="9" width="34.33203125" bestFit="1" customWidth="1"/>
    <col min="10" max="11" width="12.6640625" style="5" bestFit="1" customWidth="1"/>
    <col min="19" max="19" width="59.83203125" bestFit="1" customWidth="1"/>
    <col min="20" max="20" width="12.1640625" bestFit="1" customWidth="1"/>
  </cols>
  <sheetData>
    <row r="1" spans="1:20" ht="17" x14ac:dyDescent="0.2">
      <c r="A1" s="1" t="s">
        <v>0</v>
      </c>
      <c r="P1" s="1" t="s">
        <v>0</v>
      </c>
    </row>
    <row r="2" spans="1:20" x14ac:dyDescent="0.2">
      <c r="A2" s="2" t="s">
        <v>1</v>
      </c>
      <c r="P2" s="2" t="s">
        <v>1</v>
      </c>
    </row>
    <row r="3" spans="1:20" x14ac:dyDescent="0.2">
      <c r="F3" s="3" t="s">
        <v>2</v>
      </c>
      <c r="T3" s="10">
        <v>2024</v>
      </c>
    </row>
    <row r="4" spans="1:20" x14ac:dyDescent="0.2">
      <c r="A4" s="3" t="s">
        <v>3</v>
      </c>
      <c r="B4" s="3" t="s">
        <v>4</v>
      </c>
      <c r="C4" s="3" t="s">
        <v>5</v>
      </c>
      <c r="D4" s="3"/>
      <c r="E4" s="3" t="s">
        <v>6</v>
      </c>
      <c r="F4" s="4">
        <v>5326388.7470000004</v>
      </c>
      <c r="G4" s="5">
        <f>F4</f>
        <v>5326388.7470000004</v>
      </c>
      <c r="P4" s="10" t="s">
        <v>3</v>
      </c>
      <c r="Q4" s="10" t="s">
        <v>4</v>
      </c>
      <c r="R4" s="10" t="s">
        <v>204</v>
      </c>
      <c r="S4" s="10" t="s">
        <v>6</v>
      </c>
      <c r="T4">
        <v>1407833.3870000001</v>
      </c>
    </row>
    <row r="5" spans="1:20" x14ac:dyDescent="0.2">
      <c r="C5" t="str">
        <f>E5</f>
        <v>Forbrug i produktionen, i alt-(Anvendelse)</v>
      </c>
      <c r="E5" s="3" t="s">
        <v>7</v>
      </c>
      <c r="F5" s="4">
        <v>1581497.0490000001</v>
      </c>
      <c r="S5" s="10" t="s">
        <v>7</v>
      </c>
      <c r="T5">
        <v>752556.79200000002</v>
      </c>
    </row>
    <row r="6" spans="1:20" x14ac:dyDescent="0.2">
      <c r="E6" s="3" t="s">
        <v>8</v>
      </c>
      <c r="F6" s="4">
        <v>49392.161</v>
      </c>
      <c r="S6" s="10" t="s">
        <v>8</v>
      </c>
      <c r="T6">
        <v>16984.451000000001</v>
      </c>
    </row>
    <row r="7" spans="1:20" x14ac:dyDescent="0.2">
      <c r="E7" s="3" t="s">
        <v>9</v>
      </c>
      <c r="F7" s="4">
        <v>45254.644999999997</v>
      </c>
      <c r="S7" s="10" t="s">
        <v>9</v>
      </c>
      <c r="T7">
        <v>16004.241</v>
      </c>
    </row>
    <row r="8" spans="1:20" x14ac:dyDescent="0.2">
      <c r="E8" s="3" t="s">
        <v>10</v>
      </c>
      <c r="F8" s="4">
        <v>2045.1420000000001</v>
      </c>
      <c r="S8" s="10" t="s">
        <v>10</v>
      </c>
      <c r="T8">
        <v>75.072000000000003</v>
      </c>
    </row>
    <row r="9" spans="1:20" x14ac:dyDescent="0.2">
      <c r="E9" s="3" t="s">
        <v>11</v>
      </c>
      <c r="F9" s="4">
        <v>2092.3739999999998</v>
      </c>
      <c r="S9" s="10" t="s">
        <v>11</v>
      </c>
      <c r="T9">
        <v>905.13800000000003</v>
      </c>
    </row>
    <row r="10" spans="1:20" x14ac:dyDescent="0.2">
      <c r="E10" s="3" t="s">
        <v>12</v>
      </c>
      <c r="F10" s="4">
        <v>7406.87</v>
      </c>
      <c r="S10" s="10" t="s">
        <v>12</v>
      </c>
      <c r="T10">
        <v>4138.625</v>
      </c>
    </row>
    <row r="11" spans="1:20" x14ac:dyDescent="0.2">
      <c r="E11" s="3" t="s">
        <v>13</v>
      </c>
      <c r="F11" s="4">
        <v>7406.87</v>
      </c>
      <c r="S11" s="10" t="s">
        <v>13</v>
      </c>
      <c r="T11">
        <v>4138.625</v>
      </c>
    </row>
    <row r="12" spans="1:20" x14ac:dyDescent="0.2">
      <c r="E12" s="3" t="s">
        <v>14</v>
      </c>
      <c r="F12" s="4">
        <v>329796.016</v>
      </c>
      <c r="S12" s="10" t="s">
        <v>14</v>
      </c>
      <c r="T12">
        <v>322027.45400000003</v>
      </c>
    </row>
    <row r="13" spans="1:20" x14ac:dyDescent="0.2">
      <c r="E13" s="3" t="s">
        <v>15</v>
      </c>
      <c r="F13" s="4">
        <v>112647.242</v>
      </c>
      <c r="S13" s="10" t="s">
        <v>15</v>
      </c>
      <c r="T13">
        <v>48814.917999999998</v>
      </c>
    </row>
    <row r="14" spans="1:20" x14ac:dyDescent="0.2">
      <c r="E14" s="3" t="s">
        <v>16</v>
      </c>
      <c r="F14" s="4">
        <v>112647.242</v>
      </c>
      <c r="S14" s="10" t="s">
        <v>16</v>
      </c>
      <c r="T14">
        <v>48814.917999999998</v>
      </c>
    </row>
    <row r="15" spans="1:20" x14ac:dyDescent="0.2">
      <c r="E15" s="3" t="s">
        <v>17</v>
      </c>
      <c r="F15" s="4">
        <v>2826.0650000000001</v>
      </c>
      <c r="S15" s="10" t="s">
        <v>17</v>
      </c>
      <c r="T15">
        <v>4461.1180000000004</v>
      </c>
    </row>
    <row r="16" spans="1:20" x14ac:dyDescent="0.2">
      <c r="E16" s="3" t="s">
        <v>18</v>
      </c>
      <c r="F16" s="4">
        <v>2826.0650000000001</v>
      </c>
      <c r="S16" s="10" t="s">
        <v>18</v>
      </c>
      <c r="T16">
        <v>4461.1180000000004</v>
      </c>
    </row>
    <row r="17" spans="5:20" x14ac:dyDescent="0.2">
      <c r="E17" s="3" t="s">
        <v>19</v>
      </c>
      <c r="F17" s="4">
        <v>9054.5840000000007</v>
      </c>
      <c r="S17" s="10" t="s">
        <v>19</v>
      </c>
      <c r="T17">
        <v>8813.4660000000003</v>
      </c>
    </row>
    <row r="18" spans="5:20" x14ac:dyDescent="0.2">
      <c r="E18" s="3" t="s">
        <v>20</v>
      </c>
      <c r="F18" s="4">
        <v>4549.4440000000004</v>
      </c>
      <c r="I18" s="11" t="s">
        <v>205</v>
      </c>
      <c r="J18" s="11"/>
      <c r="K18" s="11"/>
      <c r="S18" s="10" t="s">
        <v>20</v>
      </c>
      <c r="T18">
        <v>4011.8029999999999</v>
      </c>
    </row>
    <row r="19" spans="5:20" x14ac:dyDescent="0.2">
      <c r="E19" s="3" t="s">
        <v>21</v>
      </c>
      <c r="F19" s="4">
        <v>2507.857</v>
      </c>
      <c r="S19" s="10" t="s">
        <v>21</v>
      </c>
      <c r="T19">
        <v>2964.81</v>
      </c>
    </row>
    <row r="20" spans="5:20" x14ac:dyDescent="0.2">
      <c r="E20" s="3" t="s">
        <v>22</v>
      </c>
      <c r="F20" s="4">
        <v>1997.2829999999999</v>
      </c>
      <c r="I20" s="6" t="s">
        <v>6</v>
      </c>
      <c r="J20" s="5">
        <v>5326388.7470000004</v>
      </c>
      <c r="S20" s="10" t="s">
        <v>22</v>
      </c>
      <c r="T20">
        <v>1836.8530000000001</v>
      </c>
    </row>
    <row r="21" spans="5:20" x14ac:dyDescent="0.2">
      <c r="E21" s="3" t="s">
        <v>23</v>
      </c>
      <c r="F21" s="4">
        <v>9539.7720000000008</v>
      </c>
      <c r="S21" s="10" t="s">
        <v>23</v>
      </c>
      <c r="T21">
        <v>23520.196</v>
      </c>
    </row>
    <row r="22" spans="5:20" x14ac:dyDescent="0.2">
      <c r="E22" s="3" t="s">
        <v>24</v>
      </c>
      <c r="F22" s="4">
        <v>9539.7720000000008</v>
      </c>
      <c r="I22" t="s">
        <v>7</v>
      </c>
      <c r="J22" s="5">
        <f>F5</f>
        <v>1581497.0490000001</v>
      </c>
      <c r="S22" s="10" t="s">
        <v>24</v>
      </c>
      <c r="T22">
        <v>23520.196</v>
      </c>
    </row>
    <row r="23" spans="5:20" x14ac:dyDescent="0.2">
      <c r="E23" s="3" t="s">
        <v>25</v>
      </c>
      <c r="F23" s="4">
        <v>15742.989</v>
      </c>
      <c r="I23" t="s">
        <v>124</v>
      </c>
      <c r="J23" s="5">
        <f>F122</f>
        <v>3744891.6979999999</v>
      </c>
      <c r="K23" s="5">
        <f>F5+F122</f>
        <v>5326388.7469999995</v>
      </c>
      <c r="S23" s="10" t="s">
        <v>25</v>
      </c>
      <c r="T23">
        <v>17798.812999999998</v>
      </c>
    </row>
    <row r="24" spans="5:20" x14ac:dyDescent="0.2">
      <c r="E24" s="3" t="s">
        <v>26</v>
      </c>
      <c r="F24" s="4">
        <v>15742.989</v>
      </c>
      <c r="I24" s="6"/>
      <c r="S24" s="10" t="s">
        <v>26</v>
      </c>
      <c r="T24">
        <v>17798.812999999998</v>
      </c>
    </row>
    <row r="25" spans="5:20" x14ac:dyDescent="0.2">
      <c r="E25" s="3" t="s">
        <v>27</v>
      </c>
      <c r="F25" s="4">
        <v>32885.85</v>
      </c>
      <c r="I25" s="6" t="s">
        <v>125</v>
      </c>
      <c r="J25" s="5">
        <v>903382.14099999995</v>
      </c>
      <c r="S25" s="10" t="s">
        <v>27</v>
      </c>
      <c r="T25">
        <v>75755.384000000005</v>
      </c>
    </row>
    <row r="26" spans="5:20" x14ac:dyDescent="0.2">
      <c r="E26" s="3" t="s">
        <v>28</v>
      </c>
      <c r="F26" s="4">
        <v>32885.85</v>
      </c>
      <c r="I26" s="6" t="s">
        <v>188</v>
      </c>
      <c r="J26" s="5">
        <v>664564.29200000002</v>
      </c>
      <c r="S26" s="10" t="s">
        <v>28</v>
      </c>
      <c r="T26">
        <v>75755.384000000005</v>
      </c>
    </row>
    <row r="27" spans="5:20" x14ac:dyDescent="0.2">
      <c r="E27" s="3" t="s">
        <v>29</v>
      </c>
      <c r="F27" s="4">
        <v>15720.341</v>
      </c>
      <c r="I27" s="6" t="s">
        <v>193</v>
      </c>
      <c r="J27" s="5">
        <v>491325.484</v>
      </c>
      <c r="S27" s="10" t="s">
        <v>29</v>
      </c>
      <c r="T27">
        <v>14053.035</v>
      </c>
    </row>
    <row r="28" spans="5:20" x14ac:dyDescent="0.2">
      <c r="E28" s="3" t="s">
        <v>30</v>
      </c>
      <c r="F28" s="4">
        <v>5374.2520000000004</v>
      </c>
      <c r="I28" t="s">
        <v>203</v>
      </c>
      <c r="J28" s="5">
        <v>1640293.358</v>
      </c>
      <c r="K28" s="5">
        <f>SUM(J25:J28)</f>
        <v>3699565.2749999999</v>
      </c>
      <c r="S28" s="10" t="s">
        <v>30</v>
      </c>
      <c r="T28">
        <v>8305.8359999999993</v>
      </c>
    </row>
    <row r="29" spans="5:20" x14ac:dyDescent="0.2">
      <c r="E29" s="3" t="s">
        <v>31</v>
      </c>
      <c r="F29" s="4">
        <v>10346.088</v>
      </c>
      <c r="S29" s="10" t="s">
        <v>31</v>
      </c>
      <c r="T29">
        <v>5747.1989999999996</v>
      </c>
    </row>
    <row r="30" spans="5:20" x14ac:dyDescent="0.2">
      <c r="E30" s="3" t="s">
        <v>32</v>
      </c>
      <c r="F30" s="4">
        <v>23211.832999999999</v>
      </c>
      <c r="S30" s="10" t="s">
        <v>32</v>
      </c>
      <c r="T30">
        <v>24265.264999999999</v>
      </c>
    </row>
    <row r="31" spans="5:20" x14ac:dyDescent="0.2">
      <c r="E31" s="3" t="s">
        <v>33</v>
      </c>
      <c r="F31" s="4">
        <v>3256.3670000000002</v>
      </c>
      <c r="S31" s="10" t="s">
        <v>33</v>
      </c>
      <c r="T31">
        <v>6958.2749999999996</v>
      </c>
    </row>
    <row r="32" spans="5:20" x14ac:dyDescent="0.2">
      <c r="E32" s="3" t="s">
        <v>34</v>
      </c>
      <c r="F32" s="4">
        <v>19955.467000000001</v>
      </c>
      <c r="I32" s="11" t="s">
        <v>206</v>
      </c>
      <c r="J32" s="11"/>
      <c r="K32" s="11"/>
      <c r="S32" s="10" t="s">
        <v>34</v>
      </c>
      <c r="T32">
        <v>17306.990000000002</v>
      </c>
    </row>
    <row r="33" spans="5:20" x14ac:dyDescent="0.2">
      <c r="E33" s="3" t="s">
        <v>35</v>
      </c>
      <c r="F33" s="4">
        <v>10857.652</v>
      </c>
      <c r="S33" s="10" t="s">
        <v>35</v>
      </c>
      <c r="T33">
        <v>9688.0110000000004</v>
      </c>
    </row>
    <row r="34" spans="5:20" x14ac:dyDescent="0.2">
      <c r="E34" s="3" t="s">
        <v>36</v>
      </c>
      <c r="F34" s="4">
        <v>10857.652</v>
      </c>
      <c r="I34" s="6" t="s">
        <v>6</v>
      </c>
      <c r="J34" s="5">
        <v>1407833.3870000001</v>
      </c>
      <c r="S34" s="10" t="s">
        <v>36</v>
      </c>
      <c r="T34">
        <v>9688.0110000000004</v>
      </c>
    </row>
    <row r="35" spans="5:20" x14ac:dyDescent="0.2">
      <c r="E35" s="3" t="s">
        <v>37</v>
      </c>
      <c r="F35" s="4">
        <v>6628.9219999999996</v>
      </c>
      <c r="S35" s="10" t="s">
        <v>37</v>
      </c>
      <c r="T35">
        <v>8463.5730000000003</v>
      </c>
    </row>
    <row r="36" spans="5:20" x14ac:dyDescent="0.2">
      <c r="E36" s="3" t="s">
        <v>38</v>
      </c>
      <c r="F36" s="4">
        <v>6628.9219999999996</v>
      </c>
      <c r="I36" t="s">
        <v>7</v>
      </c>
      <c r="J36" s="5">
        <v>752556.79200000002</v>
      </c>
      <c r="S36" s="10" t="s">
        <v>38</v>
      </c>
      <c r="T36">
        <v>8463.5730000000003</v>
      </c>
    </row>
    <row r="37" spans="5:20" x14ac:dyDescent="0.2">
      <c r="E37" s="3" t="s">
        <v>39</v>
      </c>
      <c r="F37" s="4">
        <v>59801.226999999999</v>
      </c>
      <c r="I37" t="s">
        <v>124</v>
      </c>
      <c r="J37" s="5">
        <v>655276.59499999997</v>
      </c>
      <c r="S37" s="10" t="s">
        <v>39</v>
      </c>
      <c r="T37">
        <v>50598.336000000003</v>
      </c>
    </row>
    <row r="38" spans="5:20" x14ac:dyDescent="0.2">
      <c r="E38" s="3" t="s">
        <v>40</v>
      </c>
      <c r="F38" s="4">
        <v>59801.226999999999</v>
      </c>
      <c r="I38" s="6"/>
      <c r="S38" s="10" t="s">
        <v>40</v>
      </c>
      <c r="T38">
        <v>50598.336000000003</v>
      </c>
    </row>
    <row r="39" spans="5:20" x14ac:dyDescent="0.2">
      <c r="E39" s="3" t="s">
        <v>41</v>
      </c>
      <c r="F39" s="4">
        <v>5091.491</v>
      </c>
      <c r="I39" s="6" t="s">
        <v>125</v>
      </c>
      <c r="J39" s="5">
        <v>165403.49100000001</v>
      </c>
      <c r="S39" s="10" t="s">
        <v>41</v>
      </c>
      <c r="T39">
        <v>5568.7650000000003</v>
      </c>
    </row>
    <row r="40" spans="5:20" x14ac:dyDescent="0.2">
      <c r="E40" s="3" t="s">
        <v>42</v>
      </c>
      <c r="F40" s="4">
        <v>2070.4639999999999</v>
      </c>
      <c r="I40" s="6" t="s">
        <v>188</v>
      </c>
      <c r="J40" s="5">
        <v>5186.6959999999999</v>
      </c>
      <c r="S40" s="10" t="s">
        <v>42</v>
      </c>
      <c r="T40">
        <v>2816.7730000000001</v>
      </c>
    </row>
    <row r="41" spans="5:20" x14ac:dyDescent="0.2">
      <c r="E41" s="3" t="s">
        <v>43</v>
      </c>
      <c r="F41" s="4">
        <v>3021.027</v>
      </c>
      <c r="I41" s="6" t="s">
        <v>193</v>
      </c>
      <c r="J41" s="5">
        <v>131634.611</v>
      </c>
      <c r="S41" s="10" t="s">
        <v>43</v>
      </c>
      <c r="T41">
        <v>2751.9920000000002</v>
      </c>
    </row>
    <row r="42" spans="5:20" x14ac:dyDescent="0.2">
      <c r="E42" s="3" t="s">
        <v>44</v>
      </c>
      <c r="F42" s="4">
        <v>25788.046999999999</v>
      </c>
      <c r="I42" t="s">
        <v>203</v>
      </c>
      <c r="J42" s="5">
        <v>359164.90500000003</v>
      </c>
      <c r="S42" s="10" t="s">
        <v>44</v>
      </c>
      <c r="T42">
        <v>30226.574000000001</v>
      </c>
    </row>
    <row r="43" spans="5:20" x14ac:dyDescent="0.2">
      <c r="E43" s="3" t="s">
        <v>45</v>
      </c>
      <c r="F43" s="4">
        <v>16174.981</v>
      </c>
      <c r="S43" s="10" t="s">
        <v>45</v>
      </c>
      <c r="T43">
        <v>22900.482</v>
      </c>
    </row>
    <row r="44" spans="5:20" x14ac:dyDescent="0.2">
      <c r="E44" s="3" t="s">
        <v>46</v>
      </c>
      <c r="F44" s="4">
        <v>9613.0669999999991</v>
      </c>
      <c r="S44" s="10" t="s">
        <v>46</v>
      </c>
      <c r="T44">
        <v>7326.0919999999996</v>
      </c>
    </row>
    <row r="45" spans="5:20" x14ac:dyDescent="0.2">
      <c r="E45" s="3" t="s">
        <v>47</v>
      </c>
      <c r="F45" s="4">
        <v>55266.93</v>
      </c>
      <c r="S45" s="10" t="s">
        <v>47</v>
      </c>
      <c r="T45">
        <v>42948.14</v>
      </c>
    </row>
    <row r="46" spans="5:20" x14ac:dyDescent="0.2">
      <c r="E46" s="3" t="s">
        <v>48</v>
      </c>
      <c r="F46" s="4">
        <v>25713.563999999998</v>
      </c>
      <c r="S46" s="10" t="s">
        <v>48</v>
      </c>
      <c r="T46">
        <v>37274.440999999999</v>
      </c>
    </row>
    <row r="47" spans="5:20" x14ac:dyDescent="0.2">
      <c r="E47" s="3" t="s">
        <v>49</v>
      </c>
      <c r="F47" s="4">
        <v>25713.563999999998</v>
      </c>
      <c r="S47" s="10" t="s">
        <v>49</v>
      </c>
      <c r="T47">
        <v>37274.440999999999</v>
      </c>
    </row>
    <row r="48" spans="5:20" x14ac:dyDescent="0.2">
      <c r="E48" s="3" t="s">
        <v>50</v>
      </c>
      <c r="F48" s="4">
        <v>29553.366000000002</v>
      </c>
      <c r="S48" s="10" t="s">
        <v>50</v>
      </c>
      <c r="T48">
        <v>5673.6980000000003</v>
      </c>
    </row>
    <row r="49" spans="5:20" x14ac:dyDescent="0.2">
      <c r="E49" s="3" t="s">
        <v>51</v>
      </c>
      <c r="F49" s="4">
        <v>2840.924</v>
      </c>
      <c r="S49" s="10" t="s">
        <v>51</v>
      </c>
      <c r="T49">
        <v>384.774</v>
      </c>
    </row>
    <row r="50" spans="5:20" x14ac:dyDescent="0.2">
      <c r="E50" s="3" t="s">
        <v>52</v>
      </c>
      <c r="F50" s="4">
        <v>26712.440999999999</v>
      </c>
      <c r="S50" s="10" t="s">
        <v>52</v>
      </c>
      <c r="T50">
        <v>5288.924</v>
      </c>
    </row>
    <row r="51" spans="5:20" x14ac:dyDescent="0.2">
      <c r="E51" s="3" t="s">
        <v>53</v>
      </c>
      <c r="F51" s="4">
        <v>178201.913</v>
      </c>
      <c r="S51" s="10" t="s">
        <v>53</v>
      </c>
      <c r="T51">
        <v>74836.854000000007</v>
      </c>
    </row>
    <row r="52" spans="5:20" x14ac:dyDescent="0.2">
      <c r="E52" s="3" t="s">
        <v>54</v>
      </c>
      <c r="F52" s="4">
        <v>178201.913</v>
      </c>
      <c r="S52" s="10" t="s">
        <v>54</v>
      </c>
      <c r="T52">
        <v>74836.854000000007</v>
      </c>
    </row>
    <row r="53" spans="5:20" x14ac:dyDescent="0.2">
      <c r="E53" s="3" t="s">
        <v>55</v>
      </c>
      <c r="F53" s="4">
        <v>310604.74599999998</v>
      </c>
      <c r="S53" s="10" t="s">
        <v>55</v>
      </c>
      <c r="T53">
        <v>131087.038</v>
      </c>
    </row>
    <row r="54" spans="5:20" x14ac:dyDescent="0.2">
      <c r="E54" s="3" t="s">
        <v>56</v>
      </c>
      <c r="F54" s="4">
        <v>189083.25200000001</v>
      </c>
      <c r="S54" s="10" t="s">
        <v>56</v>
      </c>
      <c r="T54">
        <v>86621.721000000005</v>
      </c>
    </row>
    <row r="55" spans="5:20" x14ac:dyDescent="0.2">
      <c r="E55" s="3" t="s">
        <v>57</v>
      </c>
      <c r="F55" s="4">
        <v>20445.438999999998</v>
      </c>
      <c r="S55" s="10" t="s">
        <v>57</v>
      </c>
      <c r="T55">
        <v>10417.468000000001</v>
      </c>
    </row>
    <row r="56" spans="5:20" x14ac:dyDescent="0.2">
      <c r="E56" s="3" t="s">
        <v>58</v>
      </c>
      <c r="F56" s="4">
        <v>123452.19899999999</v>
      </c>
      <c r="S56" s="10" t="s">
        <v>58</v>
      </c>
      <c r="T56">
        <v>66246.122000000003</v>
      </c>
    </row>
    <row r="57" spans="5:20" x14ac:dyDescent="0.2">
      <c r="E57" s="3" t="s">
        <v>59</v>
      </c>
      <c r="F57" s="4">
        <v>45185.612999999998</v>
      </c>
      <c r="S57" s="10" t="s">
        <v>59</v>
      </c>
      <c r="T57">
        <v>9958.1309999999994</v>
      </c>
    </row>
    <row r="58" spans="5:20" x14ac:dyDescent="0.2">
      <c r="E58" s="3" t="s">
        <v>60</v>
      </c>
      <c r="F58" s="4">
        <v>87247.865000000005</v>
      </c>
      <c r="S58" s="10" t="s">
        <v>60</v>
      </c>
      <c r="T58">
        <v>30505.874</v>
      </c>
    </row>
    <row r="59" spans="5:20" x14ac:dyDescent="0.2">
      <c r="E59" s="3" t="s">
        <v>61</v>
      </c>
      <c r="F59" s="4">
        <v>42427.832999999999</v>
      </c>
      <c r="S59" s="10" t="s">
        <v>61</v>
      </c>
      <c r="T59">
        <v>10284.647999999999</v>
      </c>
    </row>
    <row r="60" spans="5:20" x14ac:dyDescent="0.2">
      <c r="E60" s="3" t="s">
        <v>62</v>
      </c>
      <c r="F60" s="4">
        <v>11886.262000000001</v>
      </c>
      <c r="S60" s="10" t="s">
        <v>62</v>
      </c>
      <c r="T60">
        <v>5340.6670000000004</v>
      </c>
    </row>
    <row r="61" spans="5:20" x14ac:dyDescent="0.2">
      <c r="E61" s="3" t="s">
        <v>63</v>
      </c>
      <c r="F61" s="4">
        <v>5947.6670000000004</v>
      </c>
      <c r="S61" s="10" t="s">
        <v>63</v>
      </c>
      <c r="T61">
        <v>6435.8190000000004</v>
      </c>
    </row>
    <row r="62" spans="5:20" x14ac:dyDescent="0.2">
      <c r="E62" s="3" t="s">
        <v>64</v>
      </c>
      <c r="F62" s="4">
        <v>18600.29</v>
      </c>
      <c r="S62" s="10" t="s">
        <v>64</v>
      </c>
      <c r="T62">
        <v>5864.7749999999996</v>
      </c>
    </row>
    <row r="63" spans="5:20" x14ac:dyDescent="0.2">
      <c r="E63" s="3" t="s">
        <v>65</v>
      </c>
      <c r="F63" s="4">
        <v>8385.8140000000003</v>
      </c>
      <c r="S63" s="10" t="s">
        <v>65</v>
      </c>
      <c r="T63">
        <v>2579.9650000000001</v>
      </c>
    </row>
    <row r="64" spans="5:20" x14ac:dyDescent="0.2">
      <c r="E64" s="3" t="s">
        <v>66</v>
      </c>
      <c r="F64" s="4">
        <v>34273.629000000001</v>
      </c>
      <c r="S64" s="10" t="s">
        <v>66</v>
      </c>
      <c r="T64">
        <v>13959.442999999999</v>
      </c>
    </row>
    <row r="65" spans="5:20" x14ac:dyDescent="0.2">
      <c r="E65" s="3" t="s">
        <v>67</v>
      </c>
      <c r="F65" s="4">
        <v>34273.629000000001</v>
      </c>
      <c r="S65" s="10" t="s">
        <v>67</v>
      </c>
      <c r="T65">
        <v>13959.442999999999</v>
      </c>
    </row>
    <row r="66" spans="5:20" x14ac:dyDescent="0.2">
      <c r="E66" s="3" t="s">
        <v>68</v>
      </c>
      <c r="F66" s="4">
        <v>107757.663</v>
      </c>
      <c r="S66" s="10" t="s">
        <v>68</v>
      </c>
      <c r="T66">
        <v>35799</v>
      </c>
    </row>
    <row r="67" spans="5:20" x14ac:dyDescent="0.2">
      <c r="E67" s="3" t="s">
        <v>69</v>
      </c>
      <c r="F67" s="4">
        <v>27957.010999999999</v>
      </c>
      <c r="S67" s="10" t="s">
        <v>69</v>
      </c>
      <c r="T67">
        <v>8204.8870000000006</v>
      </c>
    </row>
    <row r="68" spans="5:20" x14ac:dyDescent="0.2">
      <c r="E68" s="3" t="s">
        <v>70</v>
      </c>
      <c r="F68" s="4">
        <v>16077.701999999999</v>
      </c>
      <c r="S68" s="10" t="s">
        <v>70</v>
      </c>
      <c r="T68">
        <v>3701.6590000000001</v>
      </c>
    </row>
    <row r="69" spans="5:20" x14ac:dyDescent="0.2">
      <c r="E69" s="3" t="s">
        <v>71</v>
      </c>
      <c r="F69" s="4">
        <v>11879.308999999999</v>
      </c>
      <c r="S69" s="10" t="s">
        <v>71</v>
      </c>
      <c r="T69">
        <v>4503.2280000000001</v>
      </c>
    </row>
    <row r="70" spans="5:20" x14ac:dyDescent="0.2">
      <c r="E70" s="3" t="s">
        <v>72</v>
      </c>
      <c r="F70" s="4">
        <v>25081.679</v>
      </c>
      <c r="S70" s="10" t="s">
        <v>72</v>
      </c>
      <c r="T70">
        <v>7495.5940000000001</v>
      </c>
    </row>
    <row r="71" spans="5:20" x14ac:dyDescent="0.2">
      <c r="E71" s="3" t="s">
        <v>73</v>
      </c>
      <c r="F71" s="4">
        <v>25081.679</v>
      </c>
      <c r="S71" s="10" t="s">
        <v>73</v>
      </c>
      <c r="T71">
        <v>7495.5940000000001</v>
      </c>
    </row>
    <row r="72" spans="5:20" x14ac:dyDescent="0.2">
      <c r="E72" s="3" t="s">
        <v>74</v>
      </c>
      <c r="F72" s="4">
        <v>54718.972999999998</v>
      </c>
      <c r="S72" s="10" t="s">
        <v>74</v>
      </c>
      <c r="T72">
        <v>20098.519</v>
      </c>
    </row>
    <row r="73" spans="5:20" x14ac:dyDescent="0.2">
      <c r="E73" s="3" t="s">
        <v>75</v>
      </c>
      <c r="F73" s="4">
        <v>54718.972999999998</v>
      </c>
      <c r="S73" s="10" t="s">
        <v>75</v>
      </c>
      <c r="T73">
        <v>20098.519</v>
      </c>
    </row>
    <row r="74" spans="5:20" x14ac:dyDescent="0.2">
      <c r="E74" s="3" t="s">
        <v>76</v>
      </c>
      <c r="F74" s="4">
        <v>86450.116999999998</v>
      </c>
      <c r="S74" s="10" t="s">
        <v>76</v>
      </c>
      <c r="T74">
        <v>9980.8320000000003</v>
      </c>
    </row>
    <row r="75" spans="5:20" x14ac:dyDescent="0.2">
      <c r="E75" s="3" t="s">
        <v>77</v>
      </c>
      <c r="F75" s="4">
        <v>51652.218000000001</v>
      </c>
      <c r="S75" s="10" t="s">
        <v>77</v>
      </c>
      <c r="T75">
        <v>6561.1610000000001</v>
      </c>
    </row>
    <row r="76" spans="5:20" x14ac:dyDescent="0.2">
      <c r="E76" s="3" t="s">
        <v>78</v>
      </c>
      <c r="F76" s="4">
        <v>25495.655999999999</v>
      </c>
      <c r="S76" s="10" t="s">
        <v>78</v>
      </c>
      <c r="T76">
        <v>2830.2759999999998</v>
      </c>
    </row>
    <row r="77" spans="5:20" x14ac:dyDescent="0.2">
      <c r="E77" s="3" t="s">
        <v>79</v>
      </c>
      <c r="F77" s="4">
        <v>9302.2430000000004</v>
      </c>
      <c r="S77" s="10" t="s">
        <v>79</v>
      </c>
      <c r="T77">
        <v>589.39400000000001</v>
      </c>
    </row>
    <row r="78" spans="5:20" x14ac:dyDescent="0.2">
      <c r="E78" s="3" t="s">
        <v>80</v>
      </c>
      <c r="F78" s="4">
        <v>39722.629000000001</v>
      </c>
      <c r="S78" s="10" t="s">
        <v>80</v>
      </c>
      <c r="T78">
        <v>2950.1010000000001</v>
      </c>
    </row>
    <row r="79" spans="5:20" x14ac:dyDescent="0.2">
      <c r="E79" s="3" t="s">
        <v>81</v>
      </c>
      <c r="F79" s="4">
        <v>9125.1759999999995</v>
      </c>
      <c r="S79" s="10" t="s">
        <v>81</v>
      </c>
      <c r="T79">
        <v>2116.6260000000002</v>
      </c>
    </row>
    <row r="80" spans="5:20" x14ac:dyDescent="0.2">
      <c r="E80" s="3" t="s">
        <v>82</v>
      </c>
      <c r="F80" s="4">
        <v>30597.453000000001</v>
      </c>
      <c r="S80" s="10" t="s">
        <v>82</v>
      </c>
      <c r="T80">
        <v>833.47500000000002</v>
      </c>
    </row>
    <row r="81" spans="5:20" x14ac:dyDescent="0.2">
      <c r="E81" s="3" t="s">
        <v>83</v>
      </c>
      <c r="F81" s="4">
        <v>54661.913999999997</v>
      </c>
      <c r="S81" s="10" t="s">
        <v>83</v>
      </c>
      <c r="T81">
        <v>269.33600000000001</v>
      </c>
    </row>
    <row r="82" spans="5:20" x14ac:dyDescent="0.2">
      <c r="E82" s="3" t="s">
        <v>84</v>
      </c>
      <c r="F82" s="4">
        <v>26279.411</v>
      </c>
      <c r="S82" s="10" t="s">
        <v>84</v>
      </c>
      <c r="T82">
        <v>214.03700000000001</v>
      </c>
    </row>
    <row r="83" spans="5:20" x14ac:dyDescent="0.2">
      <c r="E83" s="3" t="s">
        <v>85</v>
      </c>
      <c r="F83" s="4">
        <v>28382.503000000001</v>
      </c>
      <c r="S83" s="10" t="s">
        <v>85</v>
      </c>
      <c r="T83">
        <v>55.3</v>
      </c>
    </row>
    <row r="84" spans="5:20" x14ac:dyDescent="0.2">
      <c r="E84" s="3" t="s">
        <v>86</v>
      </c>
      <c r="F84" s="4">
        <v>169328.948</v>
      </c>
      <c r="S84" s="10" t="s">
        <v>86</v>
      </c>
      <c r="T84">
        <v>57746.866999999998</v>
      </c>
    </row>
    <row r="85" spans="5:20" x14ac:dyDescent="0.2">
      <c r="E85" s="3" t="s">
        <v>87</v>
      </c>
      <c r="F85" s="4">
        <v>107374.01300000001</v>
      </c>
      <c r="S85" s="10" t="s">
        <v>87</v>
      </c>
      <c r="T85">
        <v>36921.940999999999</v>
      </c>
    </row>
    <row r="86" spans="5:20" x14ac:dyDescent="0.2">
      <c r="E86" s="3" t="s">
        <v>88</v>
      </c>
      <c r="F86" s="4">
        <v>66812.826000000001</v>
      </c>
      <c r="S86" s="10" t="s">
        <v>88</v>
      </c>
      <c r="T86">
        <v>16920.530999999999</v>
      </c>
    </row>
    <row r="87" spans="5:20" x14ac:dyDescent="0.2">
      <c r="E87" s="3" t="s">
        <v>89</v>
      </c>
      <c r="F87" s="4">
        <v>35629.408000000003</v>
      </c>
      <c r="S87" s="10" t="s">
        <v>89</v>
      </c>
      <c r="T87">
        <v>7829.1450000000004</v>
      </c>
    </row>
    <row r="88" spans="5:20" x14ac:dyDescent="0.2">
      <c r="E88" s="3" t="s">
        <v>90</v>
      </c>
      <c r="F88" s="4">
        <v>31183.418000000001</v>
      </c>
      <c r="S88" s="10" t="s">
        <v>90</v>
      </c>
      <c r="T88">
        <v>9091.3860000000004</v>
      </c>
    </row>
    <row r="89" spans="5:20" x14ac:dyDescent="0.2">
      <c r="E89" s="3" t="s">
        <v>91</v>
      </c>
      <c r="F89" s="4">
        <v>18371.042000000001</v>
      </c>
      <c r="S89" s="10" t="s">
        <v>91</v>
      </c>
      <c r="T89">
        <v>15234.715</v>
      </c>
    </row>
    <row r="90" spans="5:20" x14ac:dyDescent="0.2">
      <c r="E90" s="3" t="s">
        <v>92</v>
      </c>
      <c r="F90" s="4">
        <v>17708.444</v>
      </c>
      <c r="S90" s="10" t="s">
        <v>92</v>
      </c>
      <c r="T90">
        <v>15198.679</v>
      </c>
    </row>
    <row r="91" spans="5:20" x14ac:dyDescent="0.2">
      <c r="E91" s="3" t="s">
        <v>93</v>
      </c>
      <c r="F91" s="4">
        <v>662.59799999999996</v>
      </c>
      <c r="S91" s="10" t="s">
        <v>93</v>
      </c>
      <c r="T91">
        <v>36.036000000000001</v>
      </c>
    </row>
    <row r="92" spans="5:20" x14ac:dyDescent="0.2">
      <c r="E92" s="3" t="s">
        <v>94</v>
      </c>
      <c r="F92" s="4">
        <v>22190.145</v>
      </c>
      <c r="S92" s="10" t="s">
        <v>94</v>
      </c>
      <c r="T92">
        <v>4766.6949999999997</v>
      </c>
    </row>
    <row r="93" spans="5:20" x14ac:dyDescent="0.2">
      <c r="E93" s="3" t="s">
        <v>95</v>
      </c>
      <c r="F93" s="4">
        <v>10762.273999999999</v>
      </c>
      <c r="S93" s="10" t="s">
        <v>95</v>
      </c>
      <c r="T93">
        <v>1976.7070000000001</v>
      </c>
    </row>
    <row r="94" spans="5:20" x14ac:dyDescent="0.2">
      <c r="E94" s="3" t="s">
        <v>96</v>
      </c>
      <c r="F94" s="4">
        <v>11427.870999999999</v>
      </c>
      <c r="S94" s="10" t="s">
        <v>96</v>
      </c>
      <c r="T94">
        <v>2789.989</v>
      </c>
    </row>
    <row r="95" spans="5:20" x14ac:dyDescent="0.2">
      <c r="E95" s="3" t="s">
        <v>97</v>
      </c>
      <c r="F95" s="4">
        <v>61954.934999999998</v>
      </c>
      <c r="S95" s="10" t="s">
        <v>97</v>
      </c>
      <c r="T95">
        <v>20824.924999999999</v>
      </c>
    </row>
    <row r="96" spans="5:20" x14ac:dyDescent="0.2">
      <c r="E96" s="3" t="s">
        <v>98</v>
      </c>
      <c r="F96" s="4">
        <v>23204.68</v>
      </c>
      <c r="S96" s="10" t="s">
        <v>98</v>
      </c>
      <c r="T96">
        <v>5229.6419999999998</v>
      </c>
    </row>
    <row r="97" spans="5:20" x14ac:dyDescent="0.2">
      <c r="E97" s="3" t="s">
        <v>99</v>
      </c>
      <c r="F97" s="4">
        <v>8468.3539999999994</v>
      </c>
      <c r="S97" s="10" t="s">
        <v>99</v>
      </c>
      <c r="T97">
        <v>1744.2539999999999</v>
      </c>
    </row>
    <row r="98" spans="5:20" x14ac:dyDescent="0.2">
      <c r="E98" s="3" t="s">
        <v>100</v>
      </c>
      <c r="F98" s="4">
        <v>2244.6019999999999</v>
      </c>
      <c r="S98" s="10" t="s">
        <v>100</v>
      </c>
      <c r="T98">
        <v>6135.0209999999997</v>
      </c>
    </row>
    <row r="99" spans="5:20" x14ac:dyDescent="0.2">
      <c r="E99" s="3" t="s">
        <v>101</v>
      </c>
      <c r="F99" s="4">
        <v>28037.298999999999</v>
      </c>
      <c r="S99" s="10" t="s">
        <v>101</v>
      </c>
      <c r="T99">
        <v>7716.009</v>
      </c>
    </row>
    <row r="100" spans="5:20" x14ac:dyDescent="0.2">
      <c r="E100" s="3" t="s">
        <v>102</v>
      </c>
      <c r="F100" s="4">
        <v>158061.28400000001</v>
      </c>
      <c r="H100" s="5">
        <f>F100</f>
        <v>158061.28400000001</v>
      </c>
      <c r="S100" s="10" t="s">
        <v>102</v>
      </c>
      <c r="T100">
        <v>44876.701000000001</v>
      </c>
    </row>
    <row r="101" spans="5:20" x14ac:dyDescent="0.2">
      <c r="E101" s="3" t="s">
        <v>103</v>
      </c>
      <c r="F101" s="4">
        <v>54837.656999999999</v>
      </c>
      <c r="H101" s="5">
        <f>F101+F107+F104</f>
        <v>158061.28399999999</v>
      </c>
      <c r="S101" s="10" t="s">
        <v>103</v>
      </c>
      <c r="T101">
        <v>14010.432000000001</v>
      </c>
    </row>
    <row r="102" spans="5:20" x14ac:dyDescent="0.2">
      <c r="E102" s="3" t="s">
        <v>104</v>
      </c>
      <c r="F102" s="4">
        <v>54229.678</v>
      </c>
      <c r="S102" s="10" t="s">
        <v>104</v>
      </c>
      <c r="T102">
        <v>13727.073</v>
      </c>
    </row>
    <row r="103" spans="5:20" x14ac:dyDescent="0.2">
      <c r="E103" s="3" t="s">
        <v>105</v>
      </c>
      <c r="F103" s="4">
        <v>607.97900000000004</v>
      </c>
      <c r="S103" s="10" t="s">
        <v>105</v>
      </c>
      <c r="T103">
        <v>283.35899999999998</v>
      </c>
    </row>
    <row r="104" spans="5:20" x14ac:dyDescent="0.2">
      <c r="E104" s="3" t="s">
        <v>106</v>
      </c>
      <c r="F104" s="4">
        <v>33243.606</v>
      </c>
      <c r="S104" s="10" t="s">
        <v>106</v>
      </c>
      <c r="T104">
        <v>7072.0649999999996</v>
      </c>
    </row>
    <row r="105" spans="5:20" x14ac:dyDescent="0.2">
      <c r="E105" s="3" t="s">
        <v>107</v>
      </c>
      <c r="F105" s="4">
        <v>31413.782999999999</v>
      </c>
      <c r="S105" s="10" t="s">
        <v>107</v>
      </c>
      <c r="T105">
        <v>6561.9989999999998</v>
      </c>
    </row>
    <row r="106" spans="5:20" x14ac:dyDescent="0.2">
      <c r="E106" s="3" t="s">
        <v>108</v>
      </c>
      <c r="F106" s="4">
        <v>1829.8230000000001</v>
      </c>
      <c r="S106" s="10" t="s">
        <v>108</v>
      </c>
      <c r="T106">
        <v>510.06599999999997</v>
      </c>
    </row>
    <row r="107" spans="5:20" x14ac:dyDescent="0.2">
      <c r="E107" s="3" t="s">
        <v>109</v>
      </c>
      <c r="F107" s="4">
        <v>69980.020999999993</v>
      </c>
      <c r="S107" s="10" t="s">
        <v>109</v>
      </c>
      <c r="T107">
        <v>23794.205000000002</v>
      </c>
    </row>
    <row r="108" spans="5:20" x14ac:dyDescent="0.2">
      <c r="E108" s="3" t="s">
        <v>110</v>
      </c>
      <c r="F108" s="4">
        <v>34563.061000000002</v>
      </c>
      <c r="S108" s="10" t="s">
        <v>110</v>
      </c>
      <c r="T108">
        <v>16952.685000000001</v>
      </c>
    </row>
    <row r="109" spans="5:20" x14ac:dyDescent="0.2">
      <c r="E109" s="3" t="s">
        <v>111</v>
      </c>
      <c r="F109" s="4">
        <v>34563.061000000002</v>
      </c>
      <c r="S109" s="10" t="s">
        <v>111</v>
      </c>
      <c r="T109">
        <v>16952.685000000001</v>
      </c>
    </row>
    <row r="110" spans="5:20" x14ac:dyDescent="0.2">
      <c r="E110" s="3" t="s">
        <v>112</v>
      </c>
      <c r="F110" s="4">
        <v>35416.959999999999</v>
      </c>
      <c r="S110" s="10" t="s">
        <v>112</v>
      </c>
      <c r="T110">
        <v>6841.52</v>
      </c>
    </row>
    <row r="111" spans="5:20" x14ac:dyDescent="0.2">
      <c r="E111" s="3" t="s">
        <v>113</v>
      </c>
      <c r="F111" s="4">
        <v>35416.959999999999</v>
      </c>
      <c r="S111" s="10" t="s">
        <v>113</v>
      </c>
      <c r="T111">
        <v>6841.52</v>
      </c>
    </row>
    <row r="112" spans="5:20" x14ac:dyDescent="0.2">
      <c r="E112" s="3" t="s">
        <v>114</v>
      </c>
      <c r="F112" s="4">
        <v>34845.858999999997</v>
      </c>
      <c r="S112" s="10" t="s">
        <v>114</v>
      </c>
      <c r="T112">
        <v>8911.393</v>
      </c>
    </row>
    <row r="113" spans="3:20" x14ac:dyDescent="0.2">
      <c r="E113" s="3" t="s">
        <v>115</v>
      </c>
      <c r="F113" s="4">
        <v>19351.87</v>
      </c>
      <c r="S113" s="10" t="s">
        <v>115</v>
      </c>
      <c r="T113">
        <v>4559.1970000000001</v>
      </c>
    </row>
    <row r="114" spans="3:20" x14ac:dyDescent="0.2">
      <c r="E114" s="3" t="s">
        <v>116</v>
      </c>
      <c r="F114" s="4">
        <v>10759.422</v>
      </c>
      <c r="S114" s="10" t="s">
        <v>116</v>
      </c>
      <c r="T114">
        <v>2585.3670000000002</v>
      </c>
    </row>
    <row r="115" spans="3:20" x14ac:dyDescent="0.2">
      <c r="E115" s="3" t="s">
        <v>117</v>
      </c>
      <c r="F115" s="4">
        <v>8592.4480000000003</v>
      </c>
      <c r="S115" s="10" t="s">
        <v>117</v>
      </c>
      <c r="T115">
        <v>1973.83</v>
      </c>
    </row>
    <row r="116" spans="3:20" x14ac:dyDescent="0.2">
      <c r="E116" s="3" t="s">
        <v>118</v>
      </c>
      <c r="F116" s="4">
        <v>15493.989</v>
      </c>
      <c r="S116" s="10" t="s">
        <v>118</v>
      </c>
      <c r="T116">
        <v>4352.1959999999999</v>
      </c>
    </row>
    <row r="117" spans="3:20" x14ac:dyDescent="0.2">
      <c r="E117" s="3" t="s">
        <v>119</v>
      </c>
      <c r="F117" s="4">
        <v>9283.009</v>
      </c>
      <c r="S117" s="10" t="s">
        <v>119</v>
      </c>
      <c r="T117">
        <v>2025.58</v>
      </c>
    </row>
    <row r="118" spans="3:20" x14ac:dyDescent="0.2">
      <c r="E118" s="3" t="s">
        <v>120</v>
      </c>
      <c r="F118" s="4">
        <v>1842.164</v>
      </c>
      <c r="S118" s="10" t="s">
        <v>120</v>
      </c>
      <c r="T118">
        <v>694.88099999999997</v>
      </c>
    </row>
    <row r="119" spans="3:20" x14ac:dyDescent="0.2">
      <c r="E119" s="3" t="s">
        <v>121</v>
      </c>
      <c r="F119" s="4">
        <v>4368.8159999999998</v>
      </c>
      <c r="S119" s="10" t="s">
        <v>121</v>
      </c>
      <c r="T119">
        <v>1631.7339999999999</v>
      </c>
    </row>
    <row r="120" spans="3:20" x14ac:dyDescent="0.2">
      <c r="E120" s="3" t="s">
        <v>122</v>
      </c>
      <c r="F120" s="4">
        <v>0</v>
      </c>
      <c r="S120" s="10" t="s">
        <v>122</v>
      </c>
      <c r="T120">
        <v>0</v>
      </c>
    </row>
    <row r="121" spans="3:20" x14ac:dyDescent="0.2">
      <c r="E121" s="3" t="s">
        <v>123</v>
      </c>
      <c r="F121" s="4">
        <v>0</v>
      </c>
      <c r="S121" s="10" t="s">
        <v>123</v>
      </c>
      <c r="T121">
        <v>0</v>
      </c>
    </row>
    <row r="122" spans="3:20" x14ac:dyDescent="0.2">
      <c r="C122" t="str">
        <f>E122</f>
        <v>Endelig anvendelse i alt-(Anvendelse)</v>
      </c>
      <c r="E122" s="3" t="s">
        <v>124</v>
      </c>
      <c r="F122" s="4">
        <v>3744891.6979999999</v>
      </c>
      <c r="H122" s="5">
        <f>F122</f>
        <v>3744891.6979999999</v>
      </c>
      <c r="S122" s="10" t="s">
        <v>124</v>
      </c>
      <c r="T122">
        <v>655276.59499999997</v>
      </c>
    </row>
    <row r="123" spans="3:20" x14ac:dyDescent="0.2">
      <c r="E123" s="3" t="s">
        <v>125</v>
      </c>
      <c r="F123" s="4">
        <v>903382.14099999995</v>
      </c>
      <c r="G123" s="5">
        <f>F123</f>
        <v>903382.14099999995</v>
      </c>
      <c r="H123" s="8">
        <f>SUM(G121:G201)</f>
        <v>3741894.1170000001</v>
      </c>
      <c r="I123">
        <f>G191/H123</f>
        <v>0.1313039515917441</v>
      </c>
      <c r="S123" s="10" t="s">
        <v>125</v>
      </c>
      <c r="T123">
        <v>165403.49100000001</v>
      </c>
    </row>
    <row r="124" spans="3:20" x14ac:dyDescent="0.2">
      <c r="E124" s="3" t="s">
        <v>126</v>
      </c>
      <c r="F124" s="4">
        <v>69895.263999999996</v>
      </c>
      <c r="S124" s="10" t="s">
        <v>126</v>
      </c>
      <c r="T124">
        <v>30930.844000000001</v>
      </c>
    </row>
    <row r="125" spans="3:20" x14ac:dyDescent="0.2">
      <c r="E125" s="3" t="s">
        <v>127</v>
      </c>
      <c r="F125" s="4">
        <v>69895.263999999996</v>
      </c>
      <c r="S125" s="10" t="s">
        <v>127</v>
      </c>
      <c r="T125">
        <v>30930.844000000001</v>
      </c>
    </row>
    <row r="126" spans="3:20" x14ac:dyDescent="0.2">
      <c r="E126" s="3" t="s">
        <v>128</v>
      </c>
      <c r="F126" s="4">
        <v>24251.795999999998</v>
      </c>
      <c r="S126" s="10" t="s">
        <v>128</v>
      </c>
      <c r="T126">
        <v>14363.319</v>
      </c>
    </row>
    <row r="127" spans="3:20" x14ac:dyDescent="0.2">
      <c r="E127" s="3" t="s">
        <v>129</v>
      </c>
      <c r="F127" s="4">
        <v>10774.496999999999</v>
      </c>
      <c r="S127" s="10" t="s">
        <v>129</v>
      </c>
      <c r="T127">
        <v>4597.5039999999999</v>
      </c>
    </row>
    <row r="128" spans="3:20" x14ac:dyDescent="0.2">
      <c r="E128" s="3" t="s">
        <v>130</v>
      </c>
      <c r="F128" s="4">
        <v>8524.2469999999994</v>
      </c>
      <c r="S128" s="10" t="s">
        <v>130</v>
      </c>
      <c r="T128">
        <v>6880.9</v>
      </c>
    </row>
    <row r="129" spans="5:20" x14ac:dyDescent="0.2">
      <c r="E129" s="3" t="s">
        <v>131</v>
      </c>
      <c r="F129" s="4">
        <v>4953.0519999999997</v>
      </c>
      <c r="S129" s="10" t="s">
        <v>131</v>
      </c>
      <c r="T129">
        <v>2884.915</v>
      </c>
    </row>
    <row r="130" spans="5:20" x14ac:dyDescent="0.2">
      <c r="E130" s="3" t="s">
        <v>132</v>
      </c>
      <c r="F130" s="4">
        <v>24389.338</v>
      </c>
      <c r="S130" s="10" t="s">
        <v>132</v>
      </c>
      <c r="T130">
        <v>14235.393</v>
      </c>
    </row>
    <row r="131" spans="5:20" x14ac:dyDescent="0.2">
      <c r="E131" s="3" t="s">
        <v>133</v>
      </c>
      <c r="F131" s="4">
        <v>20970.303</v>
      </c>
      <c r="S131" s="10" t="s">
        <v>133</v>
      </c>
      <c r="T131">
        <v>10597.046</v>
      </c>
    </row>
    <row r="132" spans="5:20" x14ac:dyDescent="0.2">
      <c r="E132" s="3" t="s">
        <v>134</v>
      </c>
      <c r="F132" s="4">
        <v>3419.0349999999999</v>
      </c>
      <c r="S132" s="10" t="s">
        <v>134</v>
      </c>
      <c r="T132">
        <v>3638.3470000000002</v>
      </c>
    </row>
    <row r="133" spans="5:20" x14ac:dyDescent="0.2">
      <c r="E133" s="3" t="s">
        <v>135</v>
      </c>
      <c r="F133" s="4">
        <v>290012.77500000002</v>
      </c>
      <c r="S133" s="10" t="s">
        <v>135</v>
      </c>
      <c r="T133">
        <v>1385.3810000000001</v>
      </c>
    </row>
    <row r="134" spans="5:20" x14ac:dyDescent="0.2">
      <c r="E134" s="3" t="s">
        <v>136</v>
      </c>
      <c r="F134" s="4">
        <v>111971.68399999999</v>
      </c>
      <c r="S134" s="10" t="s">
        <v>136</v>
      </c>
      <c r="T134">
        <v>0</v>
      </c>
    </row>
    <row r="135" spans="5:20" x14ac:dyDescent="0.2">
      <c r="E135" s="3" t="s">
        <v>137</v>
      </c>
      <c r="F135" s="4">
        <v>148554.413</v>
      </c>
      <c r="S135" s="10" t="s">
        <v>137</v>
      </c>
      <c r="T135">
        <v>0</v>
      </c>
    </row>
    <row r="136" spans="5:20" x14ac:dyDescent="0.2">
      <c r="E136" s="3" t="s">
        <v>138</v>
      </c>
      <c r="F136" s="4">
        <v>7499.5290000000005</v>
      </c>
      <c r="S136" s="10" t="s">
        <v>138</v>
      </c>
      <c r="T136">
        <v>1319.999</v>
      </c>
    </row>
    <row r="137" spans="5:20" x14ac:dyDescent="0.2">
      <c r="E137" s="3" t="s">
        <v>139</v>
      </c>
      <c r="F137" s="4">
        <v>21987.149000000001</v>
      </c>
      <c r="S137" s="10" t="s">
        <v>139</v>
      </c>
      <c r="T137">
        <v>65.382000000000005</v>
      </c>
    </row>
    <row r="138" spans="5:20" x14ac:dyDescent="0.2">
      <c r="E138" s="3" t="s">
        <v>140</v>
      </c>
      <c r="F138" s="4">
        <v>26618.364000000001</v>
      </c>
      <c r="S138" s="10" t="s">
        <v>140</v>
      </c>
      <c r="T138">
        <v>7305.1469999999999</v>
      </c>
    </row>
    <row r="139" spans="5:20" x14ac:dyDescent="0.2">
      <c r="E139" s="3" t="s">
        <v>141</v>
      </c>
      <c r="F139" s="4">
        <v>26618.364000000001</v>
      </c>
      <c r="S139" s="10" t="s">
        <v>141</v>
      </c>
      <c r="T139">
        <v>7305.1469999999999</v>
      </c>
    </row>
    <row r="140" spans="5:20" x14ac:dyDescent="0.2">
      <c r="E140" s="3" t="s">
        <v>142</v>
      </c>
      <c r="F140" s="4">
        <v>29967.374</v>
      </c>
      <c r="S140" s="10" t="s">
        <v>142</v>
      </c>
      <c r="T140">
        <v>15695.927</v>
      </c>
    </row>
    <row r="141" spans="5:20" x14ac:dyDescent="0.2">
      <c r="E141" s="3" t="s">
        <v>143</v>
      </c>
      <c r="F141" s="4">
        <v>12357.695</v>
      </c>
      <c r="S141" s="10" t="s">
        <v>143</v>
      </c>
      <c r="T141">
        <v>5956.4530000000004</v>
      </c>
    </row>
    <row r="142" spans="5:20" x14ac:dyDescent="0.2">
      <c r="E142" s="3" t="s">
        <v>144</v>
      </c>
      <c r="F142" s="4">
        <v>2645.9380000000001</v>
      </c>
      <c r="S142" s="10" t="s">
        <v>144</v>
      </c>
      <c r="T142">
        <v>1075.33</v>
      </c>
    </row>
    <row r="143" spans="5:20" x14ac:dyDescent="0.2">
      <c r="E143" s="3" t="s">
        <v>145</v>
      </c>
      <c r="F143" s="4">
        <v>3556.0819999999999</v>
      </c>
      <c r="S143" s="10" t="s">
        <v>145</v>
      </c>
      <c r="T143">
        <v>5136.3419999999996</v>
      </c>
    </row>
    <row r="144" spans="5:20" x14ac:dyDescent="0.2">
      <c r="E144" s="3" t="s">
        <v>146</v>
      </c>
      <c r="F144" s="4">
        <v>3286.212</v>
      </c>
      <c r="S144" s="10" t="s">
        <v>146</v>
      </c>
      <c r="T144">
        <v>1281.778</v>
      </c>
    </row>
    <row r="145" spans="5:20" x14ac:dyDescent="0.2">
      <c r="E145" s="3" t="s">
        <v>147</v>
      </c>
      <c r="F145" s="4">
        <v>3157.7860000000001</v>
      </c>
      <c r="S145" s="10" t="s">
        <v>147</v>
      </c>
      <c r="T145">
        <v>1543.1010000000001</v>
      </c>
    </row>
    <row r="146" spans="5:20" x14ac:dyDescent="0.2">
      <c r="E146" s="3" t="s">
        <v>148</v>
      </c>
      <c r="F146" s="4">
        <v>4963.6610000000001</v>
      </c>
      <c r="S146" s="10" t="s">
        <v>148</v>
      </c>
      <c r="T146">
        <v>702.92200000000003</v>
      </c>
    </row>
    <row r="147" spans="5:20" x14ac:dyDescent="0.2">
      <c r="E147" s="3" t="s">
        <v>149</v>
      </c>
      <c r="F147" s="4">
        <v>28161.906999999999</v>
      </c>
      <c r="S147" s="10" t="s">
        <v>149</v>
      </c>
      <c r="T147">
        <v>4895.7030000000004</v>
      </c>
    </row>
    <row r="148" spans="5:20" x14ac:dyDescent="0.2">
      <c r="E148" s="3" t="s">
        <v>150</v>
      </c>
      <c r="F148" s="4">
        <v>9279.1</v>
      </c>
      <c r="S148" s="10" t="s">
        <v>150</v>
      </c>
      <c r="T148">
        <v>4737.1880000000001</v>
      </c>
    </row>
    <row r="149" spans="5:20" x14ac:dyDescent="0.2">
      <c r="E149" s="3" t="s">
        <v>151</v>
      </c>
      <c r="F149" s="4">
        <v>13041.425999999999</v>
      </c>
      <c r="S149" s="10" t="s">
        <v>151</v>
      </c>
      <c r="T149">
        <v>5.6459999999999999</v>
      </c>
    </row>
    <row r="150" spans="5:20" x14ac:dyDescent="0.2">
      <c r="E150" s="3" t="s">
        <v>152</v>
      </c>
      <c r="F150" s="4">
        <v>5841.38</v>
      </c>
      <c r="S150" s="10" t="s">
        <v>152</v>
      </c>
      <c r="T150">
        <v>152.869</v>
      </c>
    </row>
    <row r="151" spans="5:20" x14ac:dyDescent="0.2">
      <c r="E151" s="3" t="s">
        <v>153</v>
      </c>
      <c r="F151" s="4">
        <v>13862.739</v>
      </c>
      <c r="S151" s="10" t="s">
        <v>153</v>
      </c>
      <c r="T151">
        <v>25548.115000000002</v>
      </c>
    </row>
    <row r="152" spans="5:20" x14ac:dyDescent="0.2">
      <c r="E152" s="3" t="s">
        <v>154</v>
      </c>
      <c r="F152" s="4">
        <v>13862.739</v>
      </c>
      <c r="S152" s="10" t="s">
        <v>154</v>
      </c>
      <c r="T152">
        <v>25548.115000000002</v>
      </c>
    </row>
    <row r="153" spans="5:20" x14ac:dyDescent="0.2">
      <c r="E153" s="3" t="s">
        <v>155</v>
      </c>
      <c r="F153" s="4">
        <v>65915.987999999998</v>
      </c>
      <c r="S153" s="10" t="s">
        <v>155</v>
      </c>
      <c r="T153">
        <v>7326.3580000000002</v>
      </c>
    </row>
    <row r="154" spans="5:20" x14ac:dyDescent="0.2">
      <c r="E154" s="3" t="s">
        <v>156</v>
      </c>
      <c r="F154" s="4">
        <v>47821.288999999997</v>
      </c>
      <c r="S154" s="10" t="s">
        <v>156</v>
      </c>
      <c r="T154">
        <v>5530.2209999999995</v>
      </c>
    </row>
    <row r="155" spans="5:20" x14ac:dyDescent="0.2">
      <c r="E155" s="3" t="s">
        <v>157</v>
      </c>
      <c r="F155" s="4">
        <v>16872.351999999999</v>
      </c>
      <c r="S155" s="10" t="s">
        <v>157</v>
      </c>
      <c r="T155">
        <v>1690.57</v>
      </c>
    </row>
    <row r="156" spans="5:20" x14ac:dyDescent="0.2">
      <c r="E156" s="3" t="s">
        <v>158</v>
      </c>
      <c r="F156" s="4">
        <v>1222.347</v>
      </c>
      <c r="S156" s="10" t="s">
        <v>158</v>
      </c>
      <c r="T156">
        <v>105.56699999999999</v>
      </c>
    </row>
    <row r="157" spans="5:20" x14ac:dyDescent="0.2">
      <c r="E157" s="3" t="s">
        <v>159</v>
      </c>
      <c r="F157" s="4">
        <v>36384.921000000002</v>
      </c>
      <c r="S157" s="10" t="s">
        <v>159</v>
      </c>
      <c r="T157">
        <v>17847.251</v>
      </c>
    </row>
    <row r="158" spans="5:20" x14ac:dyDescent="0.2">
      <c r="E158" s="3" t="s">
        <v>160</v>
      </c>
      <c r="F158" s="4">
        <v>7926.799</v>
      </c>
      <c r="S158" s="10" t="s">
        <v>160</v>
      </c>
      <c r="T158">
        <v>10116.108</v>
      </c>
    </row>
    <row r="159" spans="5:20" x14ac:dyDescent="0.2">
      <c r="E159" s="3" t="s">
        <v>161</v>
      </c>
      <c r="F159" s="4">
        <v>3705.7220000000002</v>
      </c>
      <c r="S159" s="10" t="s">
        <v>161</v>
      </c>
      <c r="T159">
        <v>2268.598</v>
      </c>
    </row>
    <row r="160" spans="5:20" x14ac:dyDescent="0.2">
      <c r="E160" s="3" t="s">
        <v>162</v>
      </c>
      <c r="F160" s="4">
        <v>24752.401000000002</v>
      </c>
      <c r="S160" s="10" t="s">
        <v>162</v>
      </c>
      <c r="T160">
        <v>5462.5450000000001</v>
      </c>
    </row>
    <row r="161" spans="5:20" x14ac:dyDescent="0.2">
      <c r="E161" s="3" t="s">
        <v>163</v>
      </c>
      <c r="F161" s="4">
        <v>69903.41</v>
      </c>
      <c r="S161" s="10" t="s">
        <v>163</v>
      </c>
      <c r="T161">
        <v>15366.85</v>
      </c>
    </row>
    <row r="162" spans="5:20" x14ac:dyDescent="0.2">
      <c r="E162" s="3" t="s">
        <v>164</v>
      </c>
      <c r="F162" s="4">
        <v>2554.14</v>
      </c>
      <c r="S162" s="10" t="s">
        <v>164</v>
      </c>
      <c r="T162">
        <v>2734.7130000000002</v>
      </c>
    </row>
    <row r="163" spans="5:20" x14ac:dyDescent="0.2">
      <c r="E163" s="3" t="s">
        <v>165</v>
      </c>
      <c r="F163" s="4">
        <v>7918.308</v>
      </c>
      <c r="S163" s="10" t="s">
        <v>165</v>
      </c>
      <c r="T163">
        <v>3173.7159999999999</v>
      </c>
    </row>
    <row r="164" spans="5:20" x14ac:dyDescent="0.2">
      <c r="E164" s="3" t="s">
        <v>166</v>
      </c>
      <c r="F164" s="4">
        <v>8107.5990000000002</v>
      </c>
      <c r="S164" s="10" t="s">
        <v>166</v>
      </c>
      <c r="T164">
        <v>3444.3240000000001</v>
      </c>
    </row>
    <row r="165" spans="5:20" x14ac:dyDescent="0.2">
      <c r="E165" s="3" t="s">
        <v>167</v>
      </c>
      <c r="F165" s="4">
        <v>23884.966</v>
      </c>
      <c r="S165" s="10" t="s">
        <v>167</v>
      </c>
      <c r="T165">
        <v>4724.3289999999997</v>
      </c>
    </row>
    <row r="166" spans="5:20" x14ac:dyDescent="0.2">
      <c r="E166" s="3" t="s">
        <v>168</v>
      </c>
      <c r="F166" s="4">
        <v>1178.357</v>
      </c>
      <c r="S166" s="10" t="s">
        <v>168</v>
      </c>
      <c r="T166">
        <v>173.36799999999999</v>
      </c>
    </row>
    <row r="167" spans="5:20" x14ac:dyDescent="0.2">
      <c r="E167" s="3" t="s">
        <v>169</v>
      </c>
      <c r="F167" s="4">
        <v>9252.6620000000003</v>
      </c>
      <c r="S167" s="10" t="s">
        <v>169</v>
      </c>
      <c r="T167">
        <v>524.46299999999997</v>
      </c>
    </row>
    <row r="168" spans="5:20" x14ac:dyDescent="0.2">
      <c r="E168" s="3" t="s">
        <v>170</v>
      </c>
      <c r="F168" s="4">
        <v>4949.2650000000003</v>
      </c>
      <c r="S168" s="10" t="s">
        <v>170</v>
      </c>
      <c r="T168">
        <v>591.93600000000004</v>
      </c>
    </row>
    <row r="169" spans="5:20" x14ac:dyDescent="0.2">
      <c r="E169" s="3" t="s">
        <v>171</v>
      </c>
      <c r="F169" s="4">
        <v>12058.111999999999</v>
      </c>
      <c r="S169" s="10" t="s">
        <v>171</v>
      </c>
      <c r="T169">
        <v>0</v>
      </c>
    </row>
    <row r="170" spans="5:20" x14ac:dyDescent="0.2">
      <c r="E170" s="3" t="s">
        <v>172</v>
      </c>
      <c r="F170" s="4">
        <v>10601.583000000001</v>
      </c>
      <c r="S170" s="10" t="s">
        <v>172</v>
      </c>
      <c r="T170">
        <v>340.93799999999999</v>
      </c>
    </row>
    <row r="171" spans="5:20" x14ac:dyDescent="0.2">
      <c r="E171" s="3" t="s">
        <v>173</v>
      </c>
      <c r="F171" s="4">
        <v>10601.583000000001</v>
      </c>
      <c r="S171" s="10" t="s">
        <v>173</v>
      </c>
      <c r="T171">
        <v>340.93799999999999</v>
      </c>
    </row>
    <row r="172" spans="5:20" x14ac:dyDescent="0.2">
      <c r="E172" s="3" t="s">
        <v>174</v>
      </c>
      <c r="F172" s="4">
        <v>66310.955000000002</v>
      </c>
      <c r="S172" s="10" t="s">
        <v>174</v>
      </c>
      <c r="T172">
        <v>0</v>
      </c>
    </row>
    <row r="173" spans="5:20" x14ac:dyDescent="0.2">
      <c r="E173" s="3" t="s">
        <v>175</v>
      </c>
      <c r="F173" s="4">
        <v>53761.69</v>
      </c>
      <c r="S173" s="10" t="s">
        <v>175</v>
      </c>
      <c r="T173">
        <v>0</v>
      </c>
    </row>
    <row r="174" spans="5:20" x14ac:dyDescent="0.2">
      <c r="E174" s="3" t="s">
        <v>176</v>
      </c>
      <c r="F174" s="4">
        <v>12549.264999999999</v>
      </c>
      <c r="S174" s="10" t="s">
        <v>176</v>
      </c>
      <c r="T174">
        <v>0</v>
      </c>
    </row>
    <row r="175" spans="5:20" x14ac:dyDescent="0.2">
      <c r="E175" s="3" t="s">
        <v>177</v>
      </c>
      <c r="F175" s="4">
        <v>96998.998999999996</v>
      </c>
      <c r="S175" s="10" t="s">
        <v>177</v>
      </c>
      <c r="T175">
        <v>3850.933</v>
      </c>
    </row>
    <row r="176" spans="5:20" x14ac:dyDescent="0.2">
      <c r="E176" s="3" t="s">
        <v>178</v>
      </c>
      <c r="F176" s="4">
        <v>34993.983</v>
      </c>
      <c r="S176" s="10" t="s">
        <v>178</v>
      </c>
      <c r="T176">
        <v>1062.3789999999999</v>
      </c>
    </row>
    <row r="177" spans="5:20" x14ac:dyDescent="0.2">
      <c r="E177" s="3" t="s">
        <v>179</v>
      </c>
      <c r="F177" s="4">
        <v>62005.016000000003</v>
      </c>
      <c r="S177" s="10" t="s">
        <v>179</v>
      </c>
      <c r="T177">
        <v>2788.5540000000001</v>
      </c>
    </row>
    <row r="178" spans="5:20" x14ac:dyDescent="0.2">
      <c r="E178" s="3" t="s">
        <v>180</v>
      </c>
      <c r="F178" s="4">
        <v>50106.724999999999</v>
      </c>
      <c r="S178" s="10" t="s">
        <v>180</v>
      </c>
      <c r="T178">
        <v>6311.3310000000001</v>
      </c>
    </row>
    <row r="179" spans="5:20" x14ac:dyDescent="0.2">
      <c r="E179" s="3" t="s">
        <v>181</v>
      </c>
      <c r="F179" s="4">
        <v>15607.201999999999</v>
      </c>
      <c r="S179" s="10" t="s">
        <v>181</v>
      </c>
      <c r="T179">
        <v>3916.7080000000001</v>
      </c>
    </row>
    <row r="180" spans="5:20" x14ac:dyDescent="0.2">
      <c r="E180" s="3" t="s">
        <v>182</v>
      </c>
      <c r="F180" s="4">
        <v>3034.6979999999999</v>
      </c>
      <c r="S180" s="10" t="s">
        <v>182</v>
      </c>
      <c r="T180">
        <v>1938.953</v>
      </c>
    </row>
    <row r="181" spans="5:20" x14ac:dyDescent="0.2">
      <c r="E181" s="3" t="s">
        <v>183</v>
      </c>
      <c r="F181" s="4">
        <v>19458.599999999999</v>
      </c>
      <c r="S181" s="10" t="s">
        <v>183</v>
      </c>
      <c r="T181">
        <v>0</v>
      </c>
    </row>
    <row r="182" spans="5:20" x14ac:dyDescent="0.2">
      <c r="E182" s="3" t="s">
        <v>184</v>
      </c>
      <c r="F182" s="4">
        <v>12006.226000000001</v>
      </c>
      <c r="S182" s="10" t="s">
        <v>184</v>
      </c>
      <c r="T182">
        <v>455.67099999999999</v>
      </c>
    </row>
    <row r="183" spans="5:20" x14ac:dyDescent="0.2">
      <c r="E183" s="3" t="s">
        <v>185</v>
      </c>
      <c r="F183" s="4">
        <v>0</v>
      </c>
      <c r="S183" s="10" t="s">
        <v>185</v>
      </c>
      <c r="T183">
        <v>0</v>
      </c>
    </row>
    <row r="184" spans="5:20" x14ac:dyDescent="0.2">
      <c r="E184" s="3" t="s">
        <v>186</v>
      </c>
      <c r="F184" s="4">
        <v>0</v>
      </c>
      <c r="S184" s="10" t="s">
        <v>186</v>
      </c>
      <c r="T184">
        <v>0</v>
      </c>
    </row>
    <row r="185" spans="5:20" x14ac:dyDescent="0.2">
      <c r="E185" s="3" t="s">
        <v>187</v>
      </c>
      <c r="F185" s="4">
        <v>42328.841999999997</v>
      </c>
      <c r="G185" s="5">
        <f>F185</f>
        <v>42328.841999999997</v>
      </c>
      <c r="S185" s="10" t="s">
        <v>187</v>
      </c>
      <c r="T185">
        <v>0</v>
      </c>
    </row>
    <row r="186" spans="5:20" x14ac:dyDescent="0.2">
      <c r="E186" s="3" t="s">
        <v>188</v>
      </c>
      <c r="F186" s="4">
        <v>664564.29200000002</v>
      </c>
      <c r="G186" s="5">
        <f>F186</f>
        <v>664564.29200000002</v>
      </c>
      <c r="S186" s="10" t="s">
        <v>188</v>
      </c>
      <c r="T186">
        <v>5186.6959999999999</v>
      </c>
    </row>
    <row r="187" spans="5:20" x14ac:dyDescent="0.2">
      <c r="E187" s="3" t="s">
        <v>189</v>
      </c>
      <c r="F187" s="4">
        <v>458618.44199999998</v>
      </c>
      <c r="S187" s="10" t="s">
        <v>189</v>
      </c>
      <c r="T187">
        <v>5186.6959999999999</v>
      </c>
    </row>
    <row r="188" spans="5:20" x14ac:dyDescent="0.2">
      <c r="E188" s="3" t="s">
        <v>190</v>
      </c>
      <c r="F188" s="4">
        <v>30160.633000000002</v>
      </c>
      <c r="S188" s="10" t="s">
        <v>190</v>
      </c>
      <c r="T188">
        <v>5186.6959999999999</v>
      </c>
    </row>
    <row r="189" spans="5:20" x14ac:dyDescent="0.2">
      <c r="E189" s="3" t="s">
        <v>191</v>
      </c>
      <c r="F189" s="4">
        <v>428457.80900000001</v>
      </c>
      <c r="S189" s="10" t="s">
        <v>191</v>
      </c>
      <c r="T189">
        <v>0</v>
      </c>
    </row>
    <row r="190" spans="5:20" x14ac:dyDescent="0.2">
      <c r="E190" s="3" t="s">
        <v>192</v>
      </c>
      <c r="F190" s="4">
        <v>205945.851</v>
      </c>
      <c r="S190" s="10" t="s">
        <v>192</v>
      </c>
      <c r="T190">
        <v>0</v>
      </c>
    </row>
    <row r="191" spans="5:20" x14ac:dyDescent="0.2">
      <c r="E191" s="3" t="s">
        <v>193</v>
      </c>
      <c r="F191" s="4">
        <v>491325.484</v>
      </c>
      <c r="G191" s="5">
        <f>F191</f>
        <v>491325.484</v>
      </c>
      <c r="H191" s="5">
        <f>SUM(H192:H200)</f>
        <v>494323.06300000008</v>
      </c>
      <c r="S191" s="10" t="s">
        <v>193</v>
      </c>
      <c r="T191">
        <v>131634.611</v>
      </c>
    </row>
    <row r="192" spans="5:20" x14ac:dyDescent="0.2">
      <c r="E192" s="3" t="s">
        <v>194</v>
      </c>
      <c r="F192" s="4">
        <v>109718.322</v>
      </c>
      <c r="H192">
        <f>F192</f>
        <v>109718.322</v>
      </c>
      <c r="S192" s="10" t="s">
        <v>194</v>
      </c>
      <c r="T192">
        <v>1981.472</v>
      </c>
    </row>
    <row r="193" spans="5:20" x14ac:dyDescent="0.2">
      <c r="E193" s="3" t="s">
        <v>195</v>
      </c>
      <c r="F193" s="4">
        <v>92130.319000000003</v>
      </c>
      <c r="H193">
        <f>F193</f>
        <v>92130.319000000003</v>
      </c>
      <c r="S193" s="10" t="s">
        <v>195</v>
      </c>
      <c r="T193">
        <v>812.37199999999996</v>
      </c>
    </row>
    <row r="194" spans="5:20" x14ac:dyDescent="0.2">
      <c r="E194" s="3" t="s">
        <v>196</v>
      </c>
      <c r="F194" s="4">
        <v>67168.456000000006</v>
      </c>
      <c r="H194">
        <f>F194</f>
        <v>67168.456000000006</v>
      </c>
      <c r="S194" s="10" t="s">
        <v>196</v>
      </c>
      <c r="T194">
        <v>3563.8270000000002</v>
      </c>
    </row>
    <row r="195" spans="5:20" x14ac:dyDescent="0.2">
      <c r="E195" s="3" t="s">
        <v>197</v>
      </c>
      <c r="F195" s="4">
        <v>16846.954000000002</v>
      </c>
      <c r="H195">
        <f>F195</f>
        <v>16846.954000000002</v>
      </c>
      <c r="S195" s="10" t="s">
        <v>197</v>
      </c>
      <c r="T195">
        <v>30729.576000000001</v>
      </c>
    </row>
    <row r="196" spans="5:20" x14ac:dyDescent="0.2">
      <c r="E196" s="3" t="s">
        <v>198</v>
      </c>
      <c r="F196" s="4">
        <v>47059.222000000002</v>
      </c>
      <c r="H196">
        <f>F196</f>
        <v>47059.222000000002</v>
      </c>
      <c r="S196" s="10" t="s">
        <v>198</v>
      </c>
      <c r="T196">
        <v>49183.233</v>
      </c>
    </row>
    <row r="197" spans="5:20" x14ac:dyDescent="0.2">
      <c r="E197" s="3" t="s">
        <v>199</v>
      </c>
      <c r="F197" s="4">
        <v>-75.516999999999996</v>
      </c>
      <c r="H197">
        <f>F197</f>
        <v>-75.516999999999996</v>
      </c>
      <c r="S197" s="10" t="s">
        <v>199</v>
      </c>
      <c r="T197">
        <v>-52.323999999999998</v>
      </c>
    </row>
    <row r="198" spans="5:20" x14ac:dyDescent="0.2">
      <c r="E198" s="3" t="s">
        <v>200</v>
      </c>
      <c r="F198" s="7">
        <v>158477.728</v>
      </c>
      <c r="H198" s="8">
        <f>F198</f>
        <v>158477.728</v>
      </c>
      <c r="S198" s="10" t="s">
        <v>200</v>
      </c>
      <c r="T198">
        <v>45416.455999999998</v>
      </c>
    </row>
    <row r="199" spans="5:20" x14ac:dyDescent="0.2">
      <c r="E199" s="3" t="s">
        <v>201</v>
      </c>
      <c r="F199" s="4">
        <v>295.30900000000003</v>
      </c>
      <c r="H199">
        <f>F199</f>
        <v>295.30900000000003</v>
      </c>
      <c r="S199" s="10" t="s">
        <v>201</v>
      </c>
      <c r="T199">
        <v>-7209.8609999999999</v>
      </c>
    </row>
    <row r="200" spans="5:20" x14ac:dyDescent="0.2">
      <c r="E200" s="3" t="s">
        <v>202</v>
      </c>
      <c r="F200" s="4">
        <v>2702.27</v>
      </c>
      <c r="H200">
        <f>F200</f>
        <v>2702.27</v>
      </c>
      <c r="S200" s="10" t="s">
        <v>202</v>
      </c>
      <c r="T200">
        <v>1096.7539999999999</v>
      </c>
    </row>
    <row r="201" spans="5:20" x14ac:dyDescent="0.2">
      <c r="E201" s="3" t="s">
        <v>203</v>
      </c>
      <c r="F201" s="7">
        <v>1640293.358</v>
      </c>
      <c r="G201" s="5">
        <f>F201</f>
        <v>1640293.358</v>
      </c>
      <c r="S201" s="10" t="s">
        <v>203</v>
      </c>
      <c r="T201">
        <v>359164.90500000003</v>
      </c>
    </row>
    <row r="206" spans="5:20" x14ac:dyDescent="0.2">
      <c r="E206" s="3" t="s">
        <v>8</v>
      </c>
      <c r="F206" s="4">
        <v>49392.161</v>
      </c>
    </row>
    <row r="207" spans="5:20" x14ac:dyDescent="0.2">
      <c r="E207" s="3" t="s">
        <v>12</v>
      </c>
      <c r="F207" s="4">
        <v>7406.87</v>
      </c>
    </row>
    <row r="208" spans="5:20" x14ac:dyDescent="0.2">
      <c r="E208" s="3" t="s">
        <v>14</v>
      </c>
      <c r="F208" s="4">
        <v>329796.016</v>
      </c>
    </row>
    <row r="209" spans="5:6" x14ac:dyDescent="0.2">
      <c r="E209" s="3" t="s">
        <v>15</v>
      </c>
      <c r="F209" s="4">
        <v>112647.242</v>
      </c>
    </row>
    <row r="210" spans="5:6" x14ac:dyDescent="0.2">
      <c r="E210" s="3" t="s">
        <v>17</v>
      </c>
      <c r="F210" s="4">
        <v>2826.0650000000001</v>
      </c>
    </row>
    <row r="211" spans="5:6" x14ac:dyDescent="0.2">
      <c r="E211" s="3" t="s">
        <v>19</v>
      </c>
      <c r="F211" s="4">
        <v>9054.5840000000007</v>
      </c>
    </row>
    <row r="212" spans="5:6" x14ac:dyDescent="0.2">
      <c r="E212" s="3" t="s">
        <v>23</v>
      </c>
      <c r="F212" s="4">
        <v>9539.7720000000008</v>
      </c>
    </row>
    <row r="213" spans="5:6" x14ac:dyDescent="0.2">
      <c r="E213" s="3" t="s">
        <v>25</v>
      </c>
      <c r="F213" s="4">
        <v>15742.989</v>
      </c>
    </row>
    <row r="214" spans="5:6" x14ac:dyDescent="0.2">
      <c r="E214" s="3" t="s">
        <v>27</v>
      </c>
      <c r="F214" s="4">
        <v>32885.85</v>
      </c>
    </row>
    <row r="215" spans="5:6" x14ac:dyDescent="0.2">
      <c r="E215" s="3" t="s">
        <v>29</v>
      </c>
      <c r="F215" s="4">
        <v>15720.341</v>
      </c>
    </row>
    <row r="216" spans="5:6" x14ac:dyDescent="0.2">
      <c r="E216" s="3" t="s">
        <v>32</v>
      </c>
      <c r="F216" s="4">
        <v>23211.832999999999</v>
      </c>
    </row>
    <row r="217" spans="5:6" x14ac:dyDescent="0.2">
      <c r="E217" s="3" t="s">
        <v>35</v>
      </c>
      <c r="F217" s="4">
        <v>10857.652</v>
      </c>
    </row>
    <row r="218" spans="5:6" x14ac:dyDescent="0.2">
      <c r="E218" s="3" t="s">
        <v>37</v>
      </c>
      <c r="F218" s="4">
        <v>6628.9219999999996</v>
      </c>
    </row>
    <row r="219" spans="5:6" x14ac:dyDescent="0.2">
      <c r="E219" s="3" t="s">
        <v>39</v>
      </c>
      <c r="F219" s="4">
        <v>59801.226999999999</v>
      </c>
    </row>
    <row r="220" spans="5:6" x14ac:dyDescent="0.2">
      <c r="E220" s="3" t="s">
        <v>41</v>
      </c>
      <c r="F220" s="4">
        <v>5091.491</v>
      </c>
    </row>
    <row r="221" spans="5:6" x14ac:dyDescent="0.2">
      <c r="E221" s="3" t="s">
        <v>44</v>
      </c>
      <c r="F221" s="4">
        <v>25788.046999999999</v>
      </c>
    </row>
    <row r="222" spans="5:6" x14ac:dyDescent="0.2">
      <c r="E222" s="3" t="s">
        <v>47</v>
      </c>
      <c r="F222" s="4">
        <v>55266.93</v>
      </c>
    </row>
    <row r="223" spans="5:6" x14ac:dyDescent="0.2">
      <c r="E223" s="3" t="s">
        <v>48</v>
      </c>
      <c r="F223" s="4">
        <v>25713.563999999998</v>
      </c>
    </row>
    <row r="224" spans="5:6" x14ac:dyDescent="0.2">
      <c r="E224" s="3" t="s">
        <v>50</v>
      </c>
      <c r="F224" s="4">
        <v>29553.366000000002</v>
      </c>
    </row>
    <row r="225" spans="5:6" x14ac:dyDescent="0.2">
      <c r="E225" s="3" t="s">
        <v>53</v>
      </c>
      <c r="F225" s="4">
        <v>178201.913</v>
      </c>
    </row>
    <row r="226" spans="5:6" x14ac:dyDescent="0.2">
      <c r="E226" s="3" t="s">
        <v>55</v>
      </c>
      <c r="F226" s="4">
        <v>310604.74599999998</v>
      </c>
    </row>
    <row r="227" spans="5:6" x14ac:dyDescent="0.2">
      <c r="E227" s="3" t="s">
        <v>56</v>
      </c>
      <c r="F227" s="4">
        <v>189083.25200000001</v>
      </c>
    </row>
    <row r="228" spans="5:6" x14ac:dyDescent="0.2">
      <c r="E228" s="3" t="s">
        <v>60</v>
      </c>
      <c r="F228" s="4">
        <v>87247.865000000005</v>
      </c>
    </row>
    <row r="229" spans="5:6" x14ac:dyDescent="0.2">
      <c r="E229" s="3" t="s">
        <v>66</v>
      </c>
      <c r="F229" s="4">
        <v>34273.629000000001</v>
      </c>
    </row>
    <row r="230" spans="5:6" x14ac:dyDescent="0.2">
      <c r="E230" s="3" t="s">
        <v>68</v>
      </c>
      <c r="F230" s="4">
        <v>107757.663</v>
      </c>
    </row>
    <row r="231" spans="5:6" x14ac:dyDescent="0.2">
      <c r="E231" s="3" t="s">
        <v>69</v>
      </c>
      <c r="F231" s="4">
        <v>27957.010999999999</v>
      </c>
    </row>
    <row r="232" spans="5:6" x14ac:dyDescent="0.2">
      <c r="E232" s="3" t="s">
        <v>72</v>
      </c>
      <c r="F232" s="4">
        <v>25081.679</v>
      </c>
    </row>
    <row r="233" spans="5:6" x14ac:dyDescent="0.2">
      <c r="E233" s="3" t="s">
        <v>74</v>
      </c>
      <c r="F233" s="4">
        <v>54718.972999999998</v>
      </c>
    </row>
    <row r="234" spans="5:6" x14ac:dyDescent="0.2">
      <c r="E234" s="3" t="s">
        <v>76</v>
      </c>
      <c r="F234" s="4">
        <v>86450.116999999998</v>
      </c>
    </row>
    <row r="235" spans="5:6" x14ac:dyDescent="0.2">
      <c r="E235" s="3" t="s">
        <v>80</v>
      </c>
      <c r="F235" s="4">
        <v>39722.629000000001</v>
      </c>
    </row>
    <row r="236" spans="5:6" x14ac:dyDescent="0.2">
      <c r="E236" s="3" t="s">
        <v>83</v>
      </c>
      <c r="F236" s="4">
        <v>54661.913999999997</v>
      </c>
    </row>
    <row r="237" spans="5:6" x14ac:dyDescent="0.2">
      <c r="E237" s="3" t="s">
        <v>86</v>
      </c>
      <c r="F237" s="4">
        <v>169328.948</v>
      </c>
    </row>
    <row r="238" spans="5:6" x14ac:dyDescent="0.2">
      <c r="E238" s="3" t="s">
        <v>87</v>
      </c>
      <c r="F238" s="4">
        <v>107374.01300000001</v>
      </c>
    </row>
    <row r="239" spans="5:6" x14ac:dyDescent="0.2">
      <c r="E239" s="3" t="s">
        <v>88</v>
      </c>
      <c r="F239" s="4">
        <v>66812.826000000001</v>
      </c>
    </row>
    <row r="240" spans="5:6" x14ac:dyDescent="0.2">
      <c r="E240" s="3" t="s">
        <v>91</v>
      </c>
      <c r="F240" s="4">
        <v>18371.042000000001</v>
      </c>
    </row>
    <row r="241" spans="5:8" x14ac:dyDescent="0.2">
      <c r="E241" s="3" t="s">
        <v>94</v>
      </c>
      <c r="F241" s="4">
        <v>22190.145</v>
      </c>
    </row>
    <row r="242" spans="5:8" x14ac:dyDescent="0.2">
      <c r="E242" s="3" t="s">
        <v>97</v>
      </c>
      <c r="F242" s="4">
        <v>61954.934999999998</v>
      </c>
    </row>
    <row r="243" spans="5:8" x14ac:dyDescent="0.2">
      <c r="E243" s="3" t="s">
        <v>102</v>
      </c>
      <c r="F243" s="4">
        <v>158061.28400000001</v>
      </c>
    </row>
    <row r="244" spans="5:8" x14ac:dyDescent="0.2">
      <c r="E244" s="3" t="s">
        <v>103</v>
      </c>
      <c r="F244" s="4">
        <v>54837.656999999999</v>
      </c>
    </row>
    <row r="245" spans="5:8" x14ac:dyDescent="0.2">
      <c r="E245" s="3" t="s">
        <v>106</v>
      </c>
      <c r="F245" s="4">
        <v>33243.606</v>
      </c>
    </row>
    <row r="246" spans="5:8" x14ac:dyDescent="0.2">
      <c r="E246" s="3" t="s">
        <v>109</v>
      </c>
      <c r="F246" s="4">
        <v>69980.020999999993</v>
      </c>
    </row>
    <row r="247" spans="5:8" x14ac:dyDescent="0.2">
      <c r="E247" s="3" t="s">
        <v>110</v>
      </c>
      <c r="F247" s="4">
        <v>34563.061000000002</v>
      </c>
    </row>
    <row r="248" spans="5:8" x14ac:dyDescent="0.2">
      <c r="E248" s="3" t="s">
        <v>112</v>
      </c>
      <c r="F248" s="4">
        <v>35416.959999999999</v>
      </c>
    </row>
    <row r="249" spans="5:8" x14ac:dyDescent="0.2">
      <c r="E249" s="3" t="s">
        <v>114</v>
      </c>
      <c r="F249" s="4">
        <v>34845.858999999997</v>
      </c>
    </row>
    <row r="250" spans="5:8" x14ac:dyDescent="0.2">
      <c r="E250" s="3" t="s">
        <v>115</v>
      </c>
      <c r="F250" s="4">
        <v>19351.87</v>
      </c>
    </row>
    <row r="251" spans="5:8" x14ac:dyDescent="0.2">
      <c r="E251" s="3" t="s">
        <v>118</v>
      </c>
      <c r="F251" s="4">
        <v>15493.989</v>
      </c>
    </row>
    <row r="252" spans="5:8" x14ac:dyDescent="0.2">
      <c r="E252" s="3" t="s">
        <v>122</v>
      </c>
      <c r="F252" s="4">
        <v>0</v>
      </c>
    </row>
    <row r="253" spans="5:8" x14ac:dyDescent="0.2">
      <c r="E253" s="3" t="s">
        <v>124</v>
      </c>
      <c r="F253" s="4">
        <v>3744891.6979999999</v>
      </c>
      <c r="G253" s="5">
        <f>F253</f>
        <v>3744891.6979999999</v>
      </c>
    </row>
    <row r="254" spans="5:8" x14ac:dyDescent="0.2">
      <c r="E254" s="3" t="s">
        <v>125</v>
      </c>
      <c r="F254" s="4">
        <v>903382.14099999995</v>
      </c>
      <c r="G254" s="5">
        <f>F254</f>
        <v>903382.14099999995</v>
      </c>
      <c r="H254" s="8">
        <f>SUM(G254:G285)</f>
        <v>3924871.2409999999</v>
      </c>
    </row>
    <row r="255" spans="5:8" x14ac:dyDescent="0.2">
      <c r="E255" s="3" t="s">
        <v>126</v>
      </c>
      <c r="F255" s="4">
        <v>69895.263999999996</v>
      </c>
      <c r="H255" s="8">
        <f>G254+G270+G285+G275+G283+G284</f>
        <v>3702562.8540000003</v>
      </c>
    </row>
    <row r="256" spans="5:8" x14ac:dyDescent="0.2">
      <c r="E256" s="3" t="s">
        <v>128</v>
      </c>
      <c r="F256" s="4">
        <v>24251.795999999998</v>
      </c>
      <c r="H256" s="9"/>
    </row>
    <row r="257" spans="5:7" x14ac:dyDescent="0.2">
      <c r="E257" s="3" t="s">
        <v>132</v>
      </c>
      <c r="F257" s="4">
        <v>24389.338</v>
      </c>
    </row>
    <row r="258" spans="5:7" x14ac:dyDescent="0.2">
      <c r="E258" s="3" t="s">
        <v>135</v>
      </c>
      <c r="F258" s="4">
        <v>290012.77500000002</v>
      </c>
    </row>
    <row r="259" spans="5:7" x14ac:dyDescent="0.2">
      <c r="E259" s="3" t="s">
        <v>140</v>
      </c>
      <c r="F259" s="4">
        <v>26618.364000000001</v>
      </c>
    </row>
    <row r="260" spans="5:7" x14ac:dyDescent="0.2">
      <c r="E260" s="3" t="s">
        <v>142</v>
      </c>
      <c r="F260" s="4">
        <v>29967.374</v>
      </c>
    </row>
    <row r="261" spans="5:7" x14ac:dyDescent="0.2">
      <c r="E261" s="3" t="s">
        <v>149</v>
      </c>
      <c r="F261" s="4">
        <v>28161.906999999999</v>
      </c>
    </row>
    <row r="262" spans="5:7" x14ac:dyDescent="0.2">
      <c r="E262" s="3" t="s">
        <v>153</v>
      </c>
      <c r="F262" s="4">
        <v>13862.739</v>
      </c>
    </row>
    <row r="263" spans="5:7" x14ac:dyDescent="0.2">
      <c r="E263" s="3" t="s">
        <v>155</v>
      </c>
      <c r="F263" s="4">
        <v>65915.987999999998</v>
      </c>
    </row>
    <row r="264" spans="5:7" x14ac:dyDescent="0.2">
      <c r="E264" s="3" t="s">
        <v>159</v>
      </c>
      <c r="F264" s="4">
        <v>36384.921000000002</v>
      </c>
    </row>
    <row r="265" spans="5:7" x14ac:dyDescent="0.2">
      <c r="E265" s="3" t="s">
        <v>163</v>
      </c>
      <c r="F265" s="4">
        <v>69903.41</v>
      </c>
    </row>
    <row r="266" spans="5:7" x14ac:dyDescent="0.2">
      <c r="E266" s="3" t="s">
        <v>172</v>
      </c>
      <c r="F266" s="4">
        <v>10601.583000000001</v>
      </c>
    </row>
    <row r="267" spans="5:7" x14ac:dyDescent="0.2">
      <c r="E267" s="3" t="s">
        <v>174</v>
      </c>
      <c r="F267" s="4">
        <v>66310.955000000002</v>
      </c>
    </row>
    <row r="268" spans="5:7" x14ac:dyDescent="0.2">
      <c r="E268" s="3" t="s">
        <v>180</v>
      </c>
      <c r="F268" s="4">
        <v>50106.724999999999</v>
      </c>
    </row>
    <row r="269" spans="5:7" x14ac:dyDescent="0.2">
      <c r="E269" s="3" t="s">
        <v>187</v>
      </c>
      <c r="F269" s="4">
        <v>42328.841999999997</v>
      </c>
    </row>
    <row r="270" spans="5:7" x14ac:dyDescent="0.2">
      <c r="E270" s="3" t="s">
        <v>188</v>
      </c>
      <c r="F270" s="4">
        <v>664564.29200000002</v>
      </c>
      <c r="G270" s="5">
        <f>F270</f>
        <v>664564.29200000002</v>
      </c>
    </row>
    <row r="271" spans="5:7" x14ac:dyDescent="0.2">
      <c r="E271" s="3" t="s">
        <v>189</v>
      </c>
      <c r="F271" s="4">
        <v>458618.44199999998</v>
      </c>
    </row>
    <row r="272" spans="5:7" x14ac:dyDescent="0.2">
      <c r="E272" s="3" t="s">
        <v>190</v>
      </c>
      <c r="F272" s="4">
        <v>30160.633000000002</v>
      </c>
    </row>
    <row r="273" spans="5:11" x14ac:dyDescent="0.2">
      <c r="E273" s="3" t="s">
        <v>191</v>
      </c>
      <c r="F273" s="4">
        <v>428457.80900000001</v>
      </c>
    </row>
    <row r="274" spans="5:11" x14ac:dyDescent="0.2">
      <c r="E274" s="3" t="s">
        <v>192</v>
      </c>
      <c r="F274" s="4">
        <v>205945.851</v>
      </c>
    </row>
    <row r="275" spans="5:11" x14ac:dyDescent="0.2">
      <c r="E275" s="3" t="s">
        <v>193</v>
      </c>
      <c r="F275" s="4">
        <v>491325.484</v>
      </c>
      <c r="G275" s="5">
        <f>F275</f>
        <v>491325.484</v>
      </c>
      <c r="H275" s="6" t="s">
        <v>193</v>
      </c>
    </row>
    <row r="276" spans="5:11" x14ac:dyDescent="0.2">
      <c r="E276" s="3" t="s">
        <v>194</v>
      </c>
      <c r="F276" s="4">
        <v>109718.322</v>
      </c>
      <c r="G276"/>
      <c r="H276" s="5">
        <f>SUM(F276:F282)</f>
        <v>491325.48400000005</v>
      </c>
    </row>
    <row r="277" spans="5:11" x14ac:dyDescent="0.2">
      <c r="E277" s="3" t="s">
        <v>195</v>
      </c>
      <c r="F277" s="4">
        <v>92130.319000000003</v>
      </c>
      <c r="G277"/>
    </row>
    <row r="278" spans="5:11" x14ac:dyDescent="0.2">
      <c r="E278" s="3" t="s">
        <v>196</v>
      </c>
      <c r="F278" s="4">
        <v>67168.456000000006</v>
      </c>
      <c r="G278"/>
    </row>
    <row r="279" spans="5:11" x14ac:dyDescent="0.2">
      <c r="E279" s="3" t="s">
        <v>197</v>
      </c>
      <c r="F279" s="4">
        <v>16846.954000000002</v>
      </c>
      <c r="G279" s="5">
        <f t="shared" ref="G279:G285" si="0">F279</f>
        <v>16846.954000000002</v>
      </c>
    </row>
    <row r="280" spans="5:11" x14ac:dyDescent="0.2">
      <c r="E280" s="3" t="s">
        <v>198</v>
      </c>
      <c r="F280" s="4">
        <v>47059.222000000002</v>
      </c>
      <c r="G280" s="5">
        <f t="shared" si="0"/>
        <v>47059.222000000002</v>
      </c>
    </row>
    <row r="281" spans="5:11" x14ac:dyDescent="0.2">
      <c r="E281" s="3" t="s">
        <v>199</v>
      </c>
      <c r="F281" s="4">
        <v>-75.516999999999996</v>
      </c>
      <c r="G281" s="5">
        <f t="shared" si="0"/>
        <v>-75.516999999999996</v>
      </c>
    </row>
    <row r="282" spans="5:11" x14ac:dyDescent="0.2">
      <c r="E282" s="3" t="s">
        <v>200</v>
      </c>
      <c r="F282" s="4">
        <v>158477.728</v>
      </c>
      <c r="G282" s="5">
        <f t="shared" si="0"/>
        <v>158477.728</v>
      </c>
    </row>
    <row r="283" spans="5:11" x14ac:dyDescent="0.2">
      <c r="E283" s="3" t="s">
        <v>201</v>
      </c>
      <c r="F283" s="4">
        <v>295.30900000000003</v>
      </c>
      <c r="G283" s="5">
        <f t="shared" si="0"/>
        <v>295.30900000000003</v>
      </c>
    </row>
    <row r="284" spans="5:11" x14ac:dyDescent="0.2">
      <c r="E284" s="3" t="s">
        <v>202</v>
      </c>
      <c r="F284" s="4">
        <v>2702.27</v>
      </c>
      <c r="G284" s="5">
        <f t="shared" si="0"/>
        <v>2702.27</v>
      </c>
    </row>
    <row r="285" spans="5:11" x14ac:dyDescent="0.2">
      <c r="E285" s="3" t="s">
        <v>203</v>
      </c>
      <c r="F285" s="4">
        <v>1640293.358</v>
      </c>
      <c r="G285" s="5">
        <f t="shared" si="0"/>
        <v>1640293.358</v>
      </c>
    </row>
    <row r="286" spans="5:11" x14ac:dyDescent="0.2">
      <c r="J286"/>
      <c r="K286"/>
    </row>
    <row r="287" spans="5:11" x14ac:dyDescent="0.2">
      <c r="J287"/>
      <c r="K287"/>
    </row>
    <row r="288" spans="5:11" x14ac:dyDescent="0.2">
      <c r="J288"/>
      <c r="K288"/>
    </row>
    <row r="289" spans="5:11" x14ac:dyDescent="0.2">
      <c r="J289"/>
      <c r="K289"/>
    </row>
    <row r="290" spans="5:11" x14ac:dyDescent="0.2">
      <c r="J290"/>
      <c r="K290"/>
    </row>
    <row r="291" spans="5:11" x14ac:dyDescent="0.2">
      <c r="J291"/>
      <c r="K291"/>
    </row>
    <row r="292" spans="5:11" x14ac:dyDescent="0.2">
      <c r="J292"/>
      <c r="K292"/>
    </row>
    <row r="293" spans="5:11" x14ac:dyDescent="0.2">
      <c r="E293" s="3" t="s">
        <v>8</v>
      </c>
      <c r="J293"/>
      <c r="K293"/>
    </row>
    <row r="294" spans="5:11" x14ac:dyDescent="0.2">
      <c r="E294" s="3" t="s">
        <v>12</v>
      </c>
      <c r="J294"/>
      <c r="K294"/>
    </row>
    <row r="295" spans="5:11" x14ac:dyDescent="0.2">
      <c r="E295" s="3" t="s">
        <v>15</v>
      </c>
      <c r="J295"/>
      <c r="K295"/>
    </row>
    <row r="296" spans="5:11" x14ac:dyDescent="0.2">
      <c r="E296" s="3" t="s">
        <v>17</v>
      </c>
      <c r="J296"/>
      <c r="K296"/>
    </row>
    <row r="297" spans="5:11" x14ac:dyDescent="0.2">
      <c r="E297" s="3" t="s">
        <v>19</v>
      </c>
      <c r="J297"/>
      <c r="K297"/>
    </row>
    <row r="298" spans="5:11" x14ac:dyDescent="0.2">
      <c r="E298" s="3" t="s">
        <v>23</v>
      </c>
      <c r="J298"/>
      <c r="K298"/>
    </row>
    <row r="299" spans="5:11" x14ac:dyDescent="0.2">
      <c r="E299" s="3" t="s">
        <v>25</v>
      </c>
      <c r="J299"/>
      <c r="K299"/>
    </row>
    <row r="300" spans="5:11" x14ac:dyDescent="0.2">
      <c r="E300" s="3" t="s">
        <v>27</v>
      </c>
      <c r="J300"/>
      <c r="K300"/>
    </row>
    <row r="301" spans="5:11" x14ac:dyDescent="0.2">
      <c r="E301" s="3" t="s">
        <v>29</v>
      </c>
      <c r="J301"/>
      <c r="K301"/>
    </row>
    <row r="302" spans="5:11" x14ac:dyDescent="0.2">
      <c r="E302" s="3" t="s">
        <v>32</v>
      </c>
      <c r="J302"/>
      <c r="K302"/>
    </row>
    <row r="303" spans="5:11" x14ac:dyDescent="0.2">
      <c r="E303" s="3" t="s">
        <v>35</v>
      </c>
      <c r="J303"/>
      <c r="K303"/>
    </row>
    <row r="304" spans="5:11" x14ac:dyDescent="0.2">
      <c r="E304" s="3" t="s">
        <v>37</v>
      </c>
      <c r="J304"/>
      <c r="K304"/>
    </row>
    <row r="305" spans="5:11" x14ac:dyDescent="0.2">
      <c r="E305" s="3" t="s">
        <v>39</v>
      </c>
      <c r="J305"/>
      <c r="K305"/>
    </row>
    <row r="306" spans="5:11" x14ac:dyDescent="0.2">
      <c r="E306" s="3" t="s">
        <v>41</v>
      </c>
      <c r="J306"/>
      <c r="K306"/>
    </row>
    <row r="307" spans="5:11" x14ac:dyDescent="0.2">
      <c r="E307" s="3" t="s">
        <v>44</v>
      </c>
      <c r="J307"/>
      <c r="K307"/>
    </row>
    <row r="308" spans="5:11" x14ac:dyDescent="0.2">
      <c r="E308" s="3" t="s">
        <v>47</v>
      </c>
      <c r="J308"/>
      <c r="K308"/>
    </row>
    <row r="309" spans="5:11" x14ac:dyDescent="0.2">
      <c r="E309" s="3" t="s">
        <v>48</v>
      </c>
      <c r="J309"/>
      <c r="K309"/>
    </row>
    <row r="310" spans="5:11" x14ac:dyDescent="0.2">
      <c r="E310" s="3" t="s">
        <v>50</v>
      </c>
      <c r="J310"/>
      <c r="K310"/>
    </row>
    <row r="311" spans="5:11" x14ac:dyDescent="0.2">
      <c r="E311" s="3" t="s">
        <v>53</v>
      </c>
      <c r="J311"/>
      <c r="K311"/>
    </row>
    <row r="312" spans="5:11" x14ac:dyDescent="0.2">
      <c r="E312" s="3" t="s">
        <v>56</v>
      </c>
      <c r="J312"/>
      <c r="K312"/>
    </row>
    <row r="313" spans="5:11" x14ac:dyDescent="0.2">
      <c r="E313" s="3" t="s">
        <v>60</v>
      </c>
      <c r="J313"/>
      <c r="K313"/>
    </row>
    <row r="314" spans="5:11" x14ac:dyDescent="0.2">
      <c r="E314" s="3" t="s">
        <v>66</v>
      </c>
      <c r="J314"/>
      <c r="K314"/>
    </row>
    <row r="315" spans="5:11" x14ac:dyDescent="0.2">
      <c r="E315" s="3" t="s">
        <v>68</v>
      </c>
      <c r="J315"/>
      <c r="K315"/>
    </row>
    <row r="316" spans="5:11" x14ac:dyDescent="0.2">
      <c r="E316" s="3" t="s">
        <v>76</v>
      </c>
      <c r="J316"/>
      <c r="K316"/>
    </row>
    <row r="317" spans="5:11" x14ac:dyDescent="0.2">
      <c r="E317" s="3" t="s">
        <v>80</v>
      </c>
      <c r="J317"/>
      <c r="K317"/>
    </row>
    <row r="318" spans="5:11" x14ac:dyDescent="0.2">
      <c r="E318" s="3" t="s">
        <v>83</v>
      </c>
      <c r="J318"/>
      <c r="K318"/>
    </row>
    <row r="319" spans="5:11" x14ac:dyDescent="0.2">
      <c r="E319" s="3" t="s">
        <v>86</v>
      </c>
      <c r="J319"/>
      <c r="K319"/>
    </row>
    <row r="320" spans="5:11" x14ac:dyDescent="0.2">
      <c r="E320" s="3" t="s">
        <v>88</v>
      </c>
      <c r="J320"/>
      <c r="K320"/>
    </row>
    <row r="321" spans="5:11" x14ac:dyDescent="0.2">
      <c r="E321" s="3" t="s">
        <v>91</v>
      </c>
      <c r="J321"/>
      <c r="K321"/>
    </row>
    <row r="322" spans="5:11" x14ac:dyDescent="0.2">
      <c r="E322" s="3" t="s">
        <v>94</v>
      </c>
      <c r="J322"/>
      <c r="K322"/>
    </row>
    <row r="323" spans="5:11" x14ac:dyDescent="0.2">
      <c r="E323" s="3" t="s">
        <v>97</v>
      </c>
      <c r="J323"/>
      <c r="K323"/>
    </row>
    <row r="324" spans="5:11" x14ac:dyDescent="0.2">
      <c r="E324" s="3" t="s">
        <v>103</v>
      </c>
      <c r="J324"/>
      <c r="K324"/>
    </row>
    <row r="325" spans="5:11" x14ac:dyDescent="0.2">
      <c r="E325" s="3" t="s">
        <v>106</v>
      </c>
      <c r="J325"/>
      <c r="K325"/>
    </row>
    <row r="326" spans="5:11" x14ac:dyDescent="0.2">
      <c r="E326" s="3" t="s">
        <v>110</v>
      </c>
      <c r="J326"/>
      <c r="K326"/>
    </row>
    <row r="327" spans="5:11" x14ac:dyDescent="0.2">
      <c r="E327" s="3" t="s">
        <v>112</v>
      </c>
      <c r="J327"/>
      <c r="K327"/>
    </row>
    <row r="328" spans="5:11" x14ac:dyDescent="0.2">
      <c r="E328" s="3" t="s">
        <v>114</v>
      </c>
      <c r="J328"/>
      <c r="K328"/>
    </row>
    <row r="329" spans="5:11" x14ac:dyDescent="0.2">
      <c r="E329" s="3" t="s">
        <v>115</v>
      </c>
      <c r="J329"/>
      <c r="K329"/>
    </row>
    <row r="330" spans="5:11" x14ac:dyDescent="0.2">
      <c r="E330" s="3" t="s">
        <v>118</v>
      </c>
    </row>
    <row r="331" spans="5:11" x14ac:dyDescent="0.2">
      <c r="E331" s="3" t="s">
        <v>122</v>
      </c>
    </row>
  </sheetData>
  <mergeCells count="2">
    <mergeCell ref="I18:K18"/>
    <mergeCell ref="I32:K32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NAIO1F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Lindquist</cp:lastModifiedBy>
  <dcterms:created xsi:type="dcterms:W3CDTF">2026-02-05T19:13:19Z</dcterms:created>
  <dcterms:modified xsi:type="dcterms:W3CDTF">2026-02-08T13:43:24Z</dcterms:modified>
</cp:coreProperties>
</file>