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nuslindquist/Desktop/"/>
    </mc:Choice>
  </mc:AlternateContent>
  <xr:revisionPtr revIDLastSave="0" documentId="13_ncr:1_{BF95EB93-3E4A-B645-B3AC-99768D4D28FB}" xr6:coauthVersionLast="47" xr6:coauthVersionMax="47" xr10:uidLastSave="{00000000-0000-0000-0000-000000000000}"/>
  <bookViews>
    <workbookView xWindow="0" yWindow="500" windowWidth="40960" windowHeight="25100" xr2:uid="{00000000-000D-0000-FFFF-FFFF00000000}"/>
  </bookViews>
  <sheets>
    <sheet name="NABP36" sheetId="2" r:id="rId1"/>
    <sheet name="Sheet2" sheetId="4" r:id="rId2"/>
    <sheet name="Sheet1" sheetId="3" r:id="rId3"/>
  </sheets>
  <definedNames>
    <definedName name="_xlnm._FilterDatabase" localSheetId="2" hidden="1">Sheet1!$C$1:$D$1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0" i="2" l="1"/>
  <c r="F110" i="4"/>
  <c r="F109" i="4"/>
  <c r="E110" i="4"/>
  <c r="D109" i="4"/>
  <c r="E109" i="4"/>
  <c r="D110" i="4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</calcChain>
</file>

<file path=xl/sharedStrings.xml><?xml version="1.0" encoding="utf-8"?>
<sst xmlns="http://schemas.openxmlformats.org/spreadsheetml/2006/main" count="648" uniqueCount="145">
  <si>
    <t>1-2.1.1 Produktion, BVT og indkomstdannelse (36a2-gruppering) efter prisenhed, transaktion, branche og tid</t>
  </si>
  <si>
    <t>Enhed: Mio. kr.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</si>
  <si>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</si>
  <si>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</si>
  <si>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</si>
  <si>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</si>
  <si>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</si>
  <si>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</si>
  <si>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</si>
  <si>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</si>
  <si>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</si>
  <si>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</si>
  <si>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</si>
  <si>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</si>
  <si>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</si>
  <si>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</si>
  <si>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</si>
  <si>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</si>
  <si>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</si>
  <si>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</si>
  <si>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</si>
  <si>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</si>
  <si>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</si>
  <si>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</si>
  <si>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</si>
  <si>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</si>
  <si>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</si>
  <si>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</si>
  <si>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</si>
  <si>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</si>
  <si>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</si>
  <si>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</si>
  <si>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</si>
  <si>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</si>
  <si>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</si>
  <si>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</si>
  <si>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</si>
  <si>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</si>
  <si>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</si>
  <si>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</si>
  <si>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</si>
  <si>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</si>
  <si>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</si>
  <si>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</si>
  <si>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</si>
  <si>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</si>
  <si>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</si>
  <si>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</si>
  <si>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</si>
  <si>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</si>
  <si>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</si>
  <si>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</si>
  <si>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</si>
  <si>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</si>
  <si>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</si>
  <si>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</si>
  <si>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</si>
  <si>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</si>
  <si>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</si>
  <si>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</si>
  <si>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</si>
  <si>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Løbende priser</t>
  </si>
  <si>
    <t>B.1g Bruttoværditilvækst, BVT</t>
  </si>
  <si>
    <t>I alt</t>
  </si>
  <si>
    <t>Heraf: Offentlig forvaltning og service</t>
  </si>
  <si>
    <t>A Landbrug, skovbrug og fiskeri</t>
  </si>
  <si>
    <t>B Råstofindvinding</t>
  </si>
  <si>
    <t>CA Føde-, drikke- og tobaksvareindustri</t>
  </si>
  <si>
    <t>CB Tekstil- og læderindustri</t>
  </si>
  <si>
    <t>CC Træ- og papirindustri, trykkerier</t>
  </si>
  <si>
    <t>CD Olieraffinaderier mv.</t>
  </si>
  <si>
    <t>CE Kemisk industri</t>
  </si>
  <si>
    <t>CF Medicinalindustri</t>
  </si>
  <si>
    <t>CG Plast-, glas- og betonindustri</t>
  </si>
  <si>
    <t>CH Metalindustri</t>
  </si>
  <si>
    <t>CI Elektronikindustri</t>
  </si>
  <si>
    <t>CJ Fremst. af elektrisk udstyr</t>
  </si>
  <si>
    <t>CK Maskinindustri</t>
  </si>
  <si>
    <t>CL Transportmiddelindustri</t>
  </si>
  <si>
    <t>CM Møbel- og anden industri mv.</t>
  </si>
  <si>
    <t>D Energiforsyning</t>
  </si>
  <si>
    <t>E Vandforsyning og renovation</t>
  </si>
  <si>
    <t>F Bygge og anlæg</t>
  </si>
  <si>
    <t>G Handel</t>
  </si>
  <si>
    <t>H Transport</t>
  </si>
  <si>
    <t>I Hoteller og restauranter</t>
  </si>
  <si>
    <t>JA Forlag, tv og radio</t>
  </si>
  <si>
    <t>JB Telekommunikation</t>
  </si>
  <si>
    <t>JC It- og informationstjenester</t>
  </si>
  <si>
    <t>K Finansiering og forsikring</t>
  </si>
  <si>
    <t>LA Ejendomshandel og udlejning af erhvervsejendomme</t>
  </si>
  <si>
    <t>LB Boliger</t>
  </si>
  <si>
    <t>MA Rådgivning mv.</t>
  </si>
  <si>
    <t>MB Forskning og udvikling</t>
  </si>
  <si>
    <t>MC Reklame og øvrige erhvervsservice</t>
  </si>
  <si>
    <t>N Rejsebureauer, rengøring og anden operationel service</t>
  </si>
  <si>
    <t>O Offentlig administration, forsvar og politi</t>
  </si>
  <si>
    <t>P Undervisning</t>
  </si>
  <si>
    <t>QA Sundhedsvæsen</t>
  </si>
  <si>
    <t>QB Sociale institutioner</t>
  </si>
  <si>
    <t>R Kultur og fritid</t>
  </si>
  <si>
    <t>SA Andre serviceydelser</t>
  </si>
  <si>
    <t>SB Private husholdninger med ansat medhjælp</t>
  </si>
  <si>
    <t>D.1 Aflønning af ansatte</t>
  </si>
  <si>
    <t>LS</t>
  </si>
  <si>
    <t>i</t>
  </si>
  <si>
    <t>værdi</t>
  </si>
  <si>
    <t>A Agriculture, forestry and fishing</t>
  </si>
  <si>
    <t>C</t>
  </si>
  <si>
    <t>B Mining and quarrying</t>
  </si>
  <si>
    <t>I</t>
  </si>
  <si>
    <t>CA Manufacture of food products, beverages and...</t>
  </si>
  <si>
    <t>CB Textiles and leather products</t>
  </si>
  <si>
    <t>CC Wood and paper products and printing</t>
  </si>
  <si>
    <t>CD Oil refinery etc.</t>
  </si>
  <si>
    <t>CE Manufacture of chemicals</t>
  </si>
  <si>
    <t>CF Pharmaceuticals</t>
  </si>
  <si>
    <t>CG Manufacture of plastic, glass and concrete</t>
  </si>
  <si>
    <t>CH Basic metals and fabricated metal products</t>
  </si>
  <si>
    <t>CI Manufacture of electronic components</t>
  </si>
  <si>
    <t>CJ Electrical equipment</t>
  </si>
  <si>
    <t>CK Manufacture of machinery</t>
  </si>
  <si>
    <t>CL Transport equipment</t>
  </si>
  <si>
    <t>D Electricity, gas, steam and air conditioning...</t>
  </si>
  <si>
    <t>E Water supply, sewerage and waste management</t>
  </si>
  <si>
    <t>F Construction</t>
  </si>
  <si>
    <t>G Wholesale and retail trade</t>
  </si>
  <si>
    <t>H Transportation</t>
  </si>
  <si>
    <t>I Accommodation and food service activities</t>
  </si>
  <si>
    <t>JA Publishing, television and radio broadcasting</t>
  </si>
  <si>
    <t>JB Telecommunications</t>
  </si>
  <si>
    <t>JC IT and information service activities</t>
  </si>
  <si>
    <t>K Financial and insurance</t>
  </si>
  <si>
    <t>MA Consultancy etc.</t>
  </si>
  <si>
    <t>MB Scientific research and development</t>
  </si>
  <si>
    <t>MC Advertising and other business services</t>
  </si>
  <si>
    <t>O Public administration, defence and compulsor...</t>
  </si>
  <si>
    <t>P Education</t>
  </si>
  <si>
    <t>QA Human health activities</t>
  </si>
  <si>
    <t>QB Residential care</t>
  </si>
  <si>
    <t>R Arts, entertainment and recreation activities</t>
  </si>
  <si>
    <t>BRANCHE</t>
  </si>
  <si>
    <t>type</t>
  </si>
  <si>
    <t>løn</t>
  </si>
  <si>
    <t>GVA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</si>
</sst>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7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CCCCCC"/>
      <name val="Arial"/>
      <family val="2"/>
    </font>
    <font>
      <b/>
      <sz val="12"/>
      <color rgb="FFCCCCC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Border="0" applyAlignment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9" fontId="0" fillId="0" borderId="0" xfId="2" applyFont="1"/>
    <xf numFmtId="0" fontId="5" fillId="0" borderId="0" xfId="0" applyFont="1"/>
    <xf numFmtId="0" fontId="6" fillId="0" borderId="0" xfId="0" applyFont="1"/>
    <xf numFmtId="164" fontId="0" fillId="0" borderId="0" xfId="1" applyNumberFormat="1" applyFont="1"/>
    <xf numFmtId="165" fontId="0" fillId="0" borderId="0" xfId="2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NABP36!$C$86</c:f>
              <c:strCache>
                <c:ptCount val="1"/>
                <c:pt idx="0">
                  <c:v>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NABP36!$D$85:$BJ$85</c:f>
              <c:strCache>
                <c:ptCount val="59"/>
                <c:pt idx="0">
                  <c:v>1966</c:v>
                </c:pt>
                <c:pt idx="1">
                  <c:v>1967</c:v>
                </c:pt>
                <c:pt idx="2">
                  <c:v>1968</c:v>
                </c:pt>
                <c:pt idx="3">
                  <c:v>1969</c:v>
                </c:pt>
                <c:pt idx="4">
                  <c:v>1970</c:v>
                </c:pt>
                <c:pt idx="5">
                  <c:v>1971</c:v>
                </c:pt>
                <c:pt idx="6">
                  <c:v>1972</c:v>
                </c:pt>
                <c:pt idx="7">
                  <c:v>1973</c:v>
                </c:pt>
                <c:pt idx="8">
                  <c:v>1974</c:v>
                </c:pt>
                <c:pt idx="9">
                  <c:v>1975</c:v>
                </c:pt>
                <c:pt idx="10">
                  <c:v>1976</c:v>
                </c:pt>
                <c:pt idx="11">
                  <c:v>1977</c:v>
                </c:pt>
                <c:pt idx="12">
                  <c:v>1978</c:v>
                </c:pt>
                <c:pt idx="13">
                  <c:v>1979</c:v>
                </c:pt>
                <c:pt idx="14">
                  <c:v>1980</c:v>
                </c:pt>
                <c:pt idx="15">
                  <c:v>1981</c:v>
                </c:pt>
                <c:pt idx="16">
                  <c:v>1982</c:v>
                </c:pt>
                <c:pt idx="17">
                  <c:v>1983</c:v>
                </c:pt>
                <c:pt idx="18">
                  <c:v>1984</c:v>
                </c:pt>
                <c:pt idx="19">
                  <c:v>1985</c:v>
                </c:pt>
                <c:pt idx="20">
                  <c:v>1986</c:v>
                </c:pt>
                <c:pt idx="21">
                  <c:v>1987</c:v>
                </c:pt>
                <c:pt idx="22">
                  <c:v>1988</c:v>
                </c:pt>
                <c:pt idx="23">
                  <c:v>1989</c:v>
                </c:pt>
                <c:pt idx="24">
                  <c:v>1990</c:v>
                </c:pt>
                <c:pt idx="25">
                  <c:v>1991</c:v>
                </c:pt>
                <c:pt idx="26">
                  <c:v>1992</c:v>
                </c:pt>
                <c:pt idx="27">
                  <c:v>1993</c:v>
                </c:pt>
                <c:pt idx="28">
                  <c:v>1994</c:v>
                </c:pt>
                <c:pt idx="29">
                  <c:v>1995</c:v>
                </c:pt>
                <c:pt idx="30">
                  <c:v>1996</c:v>
                </c:pt>
                <c:pt idx="31">
                  <c:v>1997</c:v>
                </c:pt>
                <c:pt idx="32">
                  <c:v>1998</c:v>
                </c:pt>
                <c:pt idx="33">
                  <c:v>1999</c:v>
                </c:pt>
                <c:pt idx="34">
                  <c:v>2000</c:v>
                </c:pt>
                <c:pt idx="35">
                  <c:v>2001</c:v>
                </c:pt>
                <c:pt idx="36">
                  <c:v>2002</c:v>
                </c:pt>
                <c:pt idx="37">
                  <c:v>2003</c:v>
                </c:pt>
                <c:pt idx="38">
                  <c:v>2004</c:v>
                </c:pt>
                <c:pt idx="39">
                  <c:v>2005</c:v>
                </c:pt>
                <c:pt idx="40">
                  <c:v>2006</c:v>
                </c:pt>
                <c:pt idx="41">
                  <c:v>2007</c:v>
                </c:pt>
                <c:pt idx="42">
                  <c:v>2008</c:v>
                </c:pt>
                <c:pt idx="43">
                  <c:v>2009</c:v>
                </c:pt>
                <c:pt idx="44">
                  <c:v>2010</c:v>
                </c:pt>
                <c:pt idx="45">
                  <c:v>2011</c:v>
                </c:pt>
                <c:pt idx="46">
                  <c:v>2012</c:v>
                </c:pt>
                <c:pt idx="47">
                  <c:v>2013</c:v>
                </c:pt>
                <c:pt idx="48">
                  <c:v>2014</c:v>
                </c:pt>
                <c:pt idx="49">
                  <c:v>2015</c:v>
                </c:pt>
                <c:pt idx="50">
                  <c:v>2016</c:v>
                </c:pt>
                <c:pt idx="51">
                  <c:v>2017</c:v>
                </c:pt>
                <c:pt idx="52">
                  <c:v>2018</c:v>
                </c:pt>
                <c:pt idx="53">
                  <c:v>2019</c:v>
                </c:pt>
                <c:pt idx="54">
                  <c:v>2020</c:v>
                </c:pt>
                <c:pt idx="55">
                  <c:v>2021</c:v>
                </c:pt>
                <c:pt idx="56">
                  <c:v>2022</c:v>
                </c:pt>
                <c:pt idx="57">
                  <c:v>2023</c:v>
                </c:pt>
                <c:pt idx="58">
                  <c:v>2024</c:v>
                </c:pt>
              </c:strCache>
            </c:strRef>
          </c:cat>
          <c:val>
            <c:numRef>
              <c:f>NABP36!$D$86:$BJ$86</c:f>
              <c:numCache>
                <c:formatCode>General</c:formatCode>
                <c:ptCount val="59"/>
                <c:pt idx="0">
                  <c:v>0.55437427775134251</c:v>
                </c:pt>
                <c:pt idx="1">
                  <c:v>0.56352280910874375</c:v>
                </c:pt>
                <c:pt idx="2">
                  <c:v>0.56873014800297361</c:v>
                </c:pt>
                <c:pt idx="3">
                  <c:v>0.568472390881537</c:v>
                </c:pt>
                <c:pt idx="4">
                  <c:v>0.58020089146700593</c:v>
                </c:pt>
                <c:pt idx="5">
                  <c:v>0.58959616153538585</c:v>
                </c:pt>
                <c:pt idx="6">
                  <c:v>0.57582176308733801</c:v>
                </c:pt>
                <c:pt idx="7">
                  <c:v>0.56888942774005824</c:v>
                </c:pt>
                <c:pt idx="8">
                  <c:v>0.59364147845048054</c:v>
                </c:pt>
                <c:pt idx="9">
                  <c:v>0.59643077160018476</c:v>
                </c:pt>
                <c:pt idx="10">
                  <c:v>0.59481883541245462</c:v>
                </c:pt>
                <c:pt idx="11">
                  <c:v>0.59712402681907772</c:v>
                </c:pt>
                <c:pt idx="12">
                  <c:v>0.59929242926876325</c:v>
                </c:pt>
                <c:pt idx="13">
                  <c:v>0.60805987982746701</c:v>
                </c:pt>
                <c:pt idx="14">
                  <c:v>0.62077072709720627</c:v>
                </c:pt>
                <c:pt idx="15">
                  <c:v>0.61159070712200081</c:v>
                </c:pt>
                <c:pt idx="16">
                  <c:v>0.60325804388535886</c:v>
                </c:pt>
                <c:pt idx="17">
                  <c:v>0.6012258228262306</c:v>
                </c:pt>
                <c:pt idx="18">
                  <c:v>0.58786822758616764</c:v>
                </c:pt>
                <c:pt idx="19">
                  <c:v>0.58827118703676029</c:v>
                </c:pt>
                <c:pt idx="20">
                  <c:v>0.59911304521144071</c:v>
                </c:pt>
                <c:pt idx="21">
                  <c:v>0.61587146496555978</c:v>
                </c:pt>
                <c:pt idx="22">
                  <c:v>0.62231120439726084</c:v>
                </c:pt>
                <c:pt idx="23">
                  <c:v>0.60967516196753879</c:v>
                </c:pt>
                <c:pt idx="24">
                  <c:v>0.60630310375008412</c:v>
                </c:pt>
                <c:pt idx="25">
                  <c:v>0.60053374806884474</c:v>
                </c:pt>
                <c:pt idx="26">
                  <c:v>0.59484823262578645</c:v>
                </c:pt>
                <c:pt idx="27">
                  <c:v>0.59277477990608174</c:v>
                </c:pt>
                <c:pt idx="28">
                  <c:v>0.57645221410033853</c:v>
                </c:pt>
                <c:pt idx="29">
                  <c:v>0.57842190482987488</c:v>
                </c:pt>
                <c:pt idx="30">
                  <c:v>0.5836605442424061</c:v>
                </c:pt>
                <c:pt idx="31">
                  <c:v>0.58254363633219863</c:v>
                </c:pt>
                <c:pt idx="32">
                  <c:v>0.59966453386247476</c:v>
                </c:pt>
                <c:pt idx="33">
                  <c:v>0.6004166281074772</c:v>
                </c:pt>
                <c:pt idx="34">
                  <c:v>0.57981488647526125</c:v>
                </c:pt>
                <c:pt idx="35">
                  <c:v>0.58965253487258373</c:v>
                </c:pt>
                <c:pt idx="36">
                  <c:v>0.5953869695410714</c:v>
                </c:pt>
                <c:pt idx="37">
                  <c:v>0.59854203246424942</c:v>
                </c:pt>
                <c:pt idx="38">
                  <c:v>0.58918619637326219</c:v>
                </c:pt>
                <c:pt idx="39">
                  <c:v>0.59180998260087347</c:v>
                </c:pt>
                <c:pt idx="40">
                  <c:v>0.59205978866979003</c:v>
                </c:pt>
                <c:pt idx="41">
                  <c:v>0.60935548743897894</c:v>
                </c:pt>
                <c:pt idx="42">
                  <c:v>0.61125303733192138</c:v>
                </c:pt>
                <c:pt idx="43">
                  <c:v>0.63376099583950263</c:v>
                </c:pt>
                <c:pt idx="44">
                  <c:v>0.60948043044773026</c:v>
                </c:pt>
                <c:pt idx="45">
                  <c:v>0.60619360550453538</c:v>
                </c:pt>
                <c:pt idx="46">
                  <c:v>0.5981372859763493</c:v>
                </c:pt>
                <c:pt idx="47">
                  <c:v>0.5934212199112221</c:v>
                </c:pt>
                <c:pt idx="48">
                  <c:v>0.59109918384929738</c:v>
                </c:pt>
                <c:pt idx="49">
                  <c:v>0.59446774850242956</c:v>
                </c:pt>
                <c:pt idx="50">
                  <c:v>0.59311024302365067</c:v>
                </c:pt>
                <c:pt idx="51">
                  <c:v>0.58637537831872588</c:v>
                </c:pt>
                <c:pt idx="52">
                  <c:v>0.59339916693005246</c:v>
                </c:pt>
                <c:pt idx="53">
                  <c:v>0.59524746450810084</c:v>
                </c:pt>
                <c:pt idx="54">
                  <c:v>0.59881166762313731</c:v>
                </c:pt>
                <c:pt idx="55">
                  <c:v>0.57473492164542805</c:v>
                </c:pt>
                <c:pt idx="56">
                  <c:v>0.54792162365321972</c:v>
                </c:pt>
                <c:pt idx="57">
                  <c:v>0.57962033673142899</c:v>
                </c:pt>
                <c:pt idx="58">
                  <c:v>0.58016709268747813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F-6245-B2B7-8D35B897E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760175"/>
        <c:axId val="1484719631"/>
      </c:areaChart>
      <c:catAx>
        <c:axId val="1458760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84719631"/>
        <c:crosses val="autoZero"/>
        <c:auto val="1"/>
        <c:lblAlgn val="ctr"/>
        <c:lblOffset val="100"/>
        <c:noMultiLvlLbl val="0"/>
      </c:catAx>
      <c:valAx>
        <c:axId val="148471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5876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NABP36!$C$86</c:f>
              <c:strCache>
                <c:ptCount val="1"/>
                <c:pt idx="0">
                  <c:v>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NABP36!$D$85:$BJ$85</c:f>
              <c:strCache>
                <c:ptCount val="59"/>
                <c:pt idx="0">
                  <c:v>1966</c:v>
                </c:pt>
                <c:pt idx="1">
                  <c:v>1967</c:v>
                </c:pt>
                <c:pt idx="2">
                  <c:v>1968</c:v>
                </c:pt>
                <c:pt idx="3">
                  <c:v>1969</c:v>
                </c:pt>
                <c:pt idx="4">
                  <c:v>1970</c:v>
                </c:pt>
                <c:pt idx="5">
                  <c:v>1971</c:v>
                </c:pt>
                <c:pt idx="6">
                  <c:v>1972</c:v>
                </c:pt>
                <c:pt idx="7">
                  <c:v>1973</c:v>
                </c:pt>
                <c:pt idx="8">
                  <c:v>1974</c:v>
                </c:pt>
                <c:pt idx="9">
                  <c:v>1975</c:v>
                </c:pt>
                <c:pt idx="10">
                  <c:v>1976</c:v>
                </c:pt>
                <c:pt idx="11">
                  <c:v>1977</c:v>
                </c:pt>
                <c:pt idx="12">
                  <c:v>1978</c:v>
                </c:pt>
                <c:pt idx="13">
                  <c:v>1979</c:v>
                </c:pt>
                <c:pt idx="14">
                  <c:v>1980</c:v>
                </c:pt>
                <c:pt idx="15">
                  <c:v>1981</c:v>
                </c:pt>
                <c:pt idx="16">
                  <c:v>1982</c:v>
                </c:pt>
                <c:pt idx="17">
                  <c:v>1983</c:v>
                </c:pt>
                <c:pt idx="18">
                  <c:v>1984</c:v>
                </c:pt>
                <c:pt idx="19">
                  <c:v>1985</c:v>
                </c:pt>
                <c:pt idx="20">
                  <c:v>1986</c:v>
                </c:pt>
                <c:pt idx="21">
                  <c:v>1987</c:v>
                </c:pt>
                <c:pt idx="22">
                  <c:v>1988</c:v>
                </c:pt>
                <c:pt idx="23">
                  <c:v>1989</c:v>
                </c:pt>
                <c:pt idx="24">
                  <c:v>1990</c:v>
                </c:pt>
                <c:pt idx="25">
                  <c:v>1991</c:v>
                </c:pt>
                <c:pt idx="26">
                  <c:v>1992</c:v>
                </c:pt>
                <c:pt idx="27">
                  <c:v>1993</c:v>
                </c:pt>
                <c:pt idx="28">
                  <c:v>1994</c:v>
                </c:pt>
                <c:pt idx="29">
                  <c:v>1995</c:v>
                </c:pt>
                <c:pt idx="30">
                  <c:v>1996</c:v>
                </c:pt>
                <c:pt idx="31">
                  <c:v>1997</c:v>
                </c:pt>
                <c:pt idx="32">
                  <c:v>1998</c:v>
                </c:pt>
                <c:pt idx="33">
                  <c:v>1999</c:v>
                </c:pt>
                <c:pt idx="34">
                  <c:v>2000</c:v>
                </c:pt>
                <c:pt idx="35">
                  <c:v>2001</c:v>
                </c:pt>
                <c:pt idx="36">
                  <c:v>2002</c:v>
                </c:pt>
                <c:pt idx="37">
                  <c:v>2003</c:v>
                </c:pt>
                <c:pt idx="38">
                  <c:v>2004</c:v>
                </c:pt>
                <c:pt idx="39">
                  <c:v>2005</c:v>
                </c:pt>
                <c:pt idx="40">
                  <c:v>2006</c:v>
                </c:pt>
                <c:pt idx="41">
                  <c:v>2007</c:v>
                </c:pt>
                <c:pt idx="42">
                  <c:v>2008</c:v>
                </c:pt>
                <c:pt idx="43">
                  <c:v>2009</c:v>
                </c:pt>
                <c:pt idx="44">
                  <c:v>2010</c:v>
                </c:pt>
                <c:pt idx="45">
                  <c:v>2011</c:v>
                </c:pt>
                <c:pt idx="46">
                  <c:v>2012</c:v>
                </c:pt>
                <c:pt idx="47">
                  <c:v>2013</c:v>
                </c:pt>
                <c:pt idx="48">
                  <c:v>2014</c:v>
                </c:pt>
                <c:pt idx="49">
                  <c:v>2015</c:v>
                </c:pt>
                <c:pt idx="50">
                  <c:v>2016</c:v>
                </c:pt>
                <c:pt idx="51">
                  <c:v>2017</c:v>
                </c:pt>
                <c:pt idx="52">
                  <c:v>2018</c:v>
                </c:pt>
                <c:pt idx="53">
                  <c:v>2019</c:v>
                </c:pt>
                <c:pt idx="54">
                  <c:v>2020</c:v>
                </c:pt>
                <c:pt idx="55">
                  <c:v>2021</c:v>
                </c:pt>
                <c:pt idx="56">
                  <c:v>2022</c:v>
                </c:pt>
                <c:pt idx="57">
                  <c:v>2023</c:v>
                </c:pt>
                <c:pt idx="58">
                  <c:v>2024</c:v>
                </c:pt>
              </c:strCache>
            </c:strRef>
          </c:cat>
          <c:val>
            <c:numRef>
              <c:f>NABP36!$AT$86:$BJ$86</c:f>
              <c:numCache>
                <c:formatCode>General</c:formatCode>
                <c:ptCount val="17"/>
                <c:pt idx="0">
                  <c:v>0.61125303733192138</c:v>
                </c:pt>
                <c:pt idx="1">
                  <c:v>0.63376099583950263</c:v>
                </c:pt>
                <c:pt idx="2">
                  <c:v>0.60948043044773026</c:v>
                </c:pt>
                <c:pt idx="3">
                  <c:v>0.60619360550453538</c:v>
                </c:pt>
                <c:pt idx="4">
                  <c:v>0.5981372859763493</c:v>
                </c:pt>
                <c:pt idx="5">
                  <c:v>0.5934212199112221</c:v>
                </c:pt>
                <c:pt idx="6">
                  <c:v>0.59109918384929738</c:v>
                </c:pt>
                <c:pt idx="7">
                  <c:v>0.59446774850242956</c:v>
                </c:pt>
                <c:pt idx="8">
                  <c:v>0.59311024302365067</c:v>
                </c:pt>
                <c:pt idx="9">
                  <c:v>0.58637537831872588</c:v>
                </c:pt>
                <c:pt idx="10">
                  <c:v>0.59339916693005246</c:v>
                </c:pt>
                <c:pt idx="11">
                  <c:v>0.59524746450810084</c:v>
                </c:pt>
                <c:pt idx="12">
                  <c:v>0.59881166762313731</c:v>
                </c:pt>
                <c:pt idx="13">
                  <c:v>0.57473492164542805</c:v>
                </c:pt>
                <c:pt idx="14">
                  <c:v>0.54792162365321972</c:v>
                </c:pt>
                <c:pt idx="15">
                  <c:v>0.57962033673142899</c:v>
                </c:pt>
                <c:pt idx="16">
                  <c:v>0.58016709268747813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0-2D4B-ABCB-40B4B4885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760175"/>
        <c:axId val="1484719631"/>
      </c:areaChart>
      <c:catAx>
        <c:axId val="1458760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84719631"/>
        <c:crosses val="autoZero"/>
        <c:auto val="1"/>
        <c:lblAlgn val="ctr"/>
        <c:lblOffset val="100"/>
        <c:noMultiLvlLbl val="0"/>
      </c:catAx>
      <c:valAx>
        <c:axId val="148471963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5876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NABP36!$Z$90:$Z$129</c:f>
              <c:strCache>
                <c:ptCount val="40"/>
                <c:pt idx="0">
                  <c:v>I alt</c:v>
                </c:pt>
                <c:pt idx="1">
                  <c:v>Heraf: Offentlig forvaltning og service</c:v>
                </c:pt>
                <c:pt idx="2">
                  <c:v>A Landbrug, skovbrug og fiskeri</c:v>
                </c:pt>
                <c:pt idx="3">
                  <c:v>B Råstofindvinding</c:v>
                </c:pt>
                <c:pt idx="4">
                  <c:v>CA Føde-, drikke- og tobaksvareindustri</c:v>
                </c:pt>
                <c:pt idx="5">
                  <c:v>CB Tekstil- og læderindustri</c:v>
                </c:pt>
                <c:pt idx="6">
                  <c:v>CC Træ- og papirindustri, trykkerier</c:v>
                </c:pt>
                <c:pt idx="7">
                  <c:v>CD Olieraffinaderier mv.</c:v>
                </c:pt>
                <c:pt idx="8">
                  <c:v>CE Kemisk industri</c:v>
                </c:pt>
                <c:pt idx="9">
                  <c:v>CF Medicinalindustri</c:v>
                </c:pt>
                <c:pt idx="10">
                  <c:v>CG Plast-, glas- og betonindustri</c:v>
                </c:pt>
                <c:pt idx="11">
                  <c:v>CH Metalindustri</c:v>
                </c:pt>
                <c:pt idx="12">
                  <c:v>CI Elektronikindustri</c:v>
                </c:pt>
                <c:pt idx="13">
                  <c:v>CJ Fremst. af elektrisk udstyr</c:v>
                </c:pt>
                <c:pt idx="14">
                  <c:v>CK Maskinindustri</c:v>
                </c:pt>
                <c:pt idx="15">
                  <c:v>CL Transportmiddelindustri</c:v>
                </c:pt>
                <c:pt idx="16">
                  <c:v>CM Møbel- og anden industri mv.</c:v>
                </c:pt>
                <c:pt idx="17">
                  <c:v>D Energiforsyning</c:v>
                </c:pt>
                <c:pt idx="18">
                  <c:v>E Vandforsyning og renovation</c:v>
                </c:pt>
                <c:pt idx="19">
                  <c:v>F Bygge og anlæg</c:v>
                </c:pt>
                <c:pt idx="20">
                  <c:v>G Handel</c:v>
                </c:pt>
                <c:pt idx="21">
                  <c:v>H Transport</c:v>
                </c:pt>
                <c:pt idx="22">
                  <c:v>I Hoteller og restauranter</c:v>
                </c:pt>
                <c:pt idx="23">
                  <c:v>JA Forlag, tv og radio</c:v>
                </c:pt>
                <c:pt idx="24">
                  <c:v>JB Telekommunikation</c:v>
                </c:pt>
                <c:pt idx="25">
                  <c:v>JC It- og informationstjenester</c:v>
                </c:pt>
                <c:pt idx="26">
                  <c:v>K Finansiering og forsikring</c:v>
                </c:pt>
                <c:pt idx="27">
                  <c:v>LA Ejendomshandel og udlejning af erhvervsejendomme</c:v>
                </c:pt>
                <c:pt idx="28">
                  <c:v>LB Boliger</c:v>
                </c:pt>
                <c:pt idx="29">
                  <c:v>MA Rådgivning mv.</c:v>
                </c:pt>
                <c:pt idx="30">
                  <c:v>MB Forskning og udvikling</c:v>
                </c:pt>
                <c:pt idx="31">
                  <c:v>MC Reklame og øvrige erhvervsservice</c:v>
                </c:pt>
                <c:pt idx="32">
                  <c:v>N Rejsebureauer, rengøring og anden operationel service</c:v>
                </c:pt>
                <c:pt idx="33">
                  <c:v>O Offentlig administration, forsvar og politi</c:v>
                </c:pt>
                <c:pt idx="34">
                  <c:v>P Undervisning</c:v>
                </c:pt>
                <c:pt idx="35">
                  <c:v>QA Sundhedsvæsen</c:v>
                </c:pt>
                <c:pt idx="36">
                  <c:v>QB Sociale institutioner</c:v>
                </c:pt>
                <c:pt idx="37">
                  <c:v>R Kultur og fritid</c:v>
                </c:pt>
                <c:pt idx="38">
                  <c:v>SA Andre serviceydelser</c:v>
                </c:pt>
                <c:pt idx="39">
                  <c:v>SB Private husholdninger med ansat medhjælp</c:v>
                </c:pt>
              </c:strCache>
            </c:strRef>
          </c:cat>
          <c:val>
            <c:numRef>
              <c:f>NABP36!$AA$90:$AA$129</c:f>
              <c:numCache>
                <c:formatCode>0%</c:formatCode>
                <c:ptCount val="40"/>
                <c:pt idx="0">
                  <c:v>0.58016709268747813</c:v>
                </c:pt>
                <c:pt idx="1">
                  <c:v>0.86176882517712972</c:v>
                </c:pt>
                <c:pt idx="2">
                  <c:v>0.53080690899716421</c:v>
                </c:pt>
                <c:pt idx="3">
                  <c:v>0.27537116127720157</c:v>
                </c:pt>
                <c:pt idx="4">
                  <c:v>0.62294280194654339</c:v>
                </c:pt>
                <c:pt idx="5">
                  <c:v>0.66187464059804491</c:v>
                </c:pt>
                <c:pt idx="6">
                  <c:v>0.72359550561797747</c:v>
                </c:pt>
                <c:pt idx="7">
                  <c:v>0.19121849831124968</c:v>
                </c:pt>
                <c:pt idx="8">
                  <c:v>0.30952113519787339</c:v>
                </c:pt>
                <c:pt idx="9">
                  <c:v>0.14672175943560273</c:v>
                </c:pt>
                <c:pt idx="10">
                  <c:v>0.62159022259398666</c:v>
                </c:pt>
                <c:pt idx="11">
                  <c:v>0.74107523823069266</c:v>
                </c:pt>
                <c:pt idx="12">
                  <c:v>0.434126679462572</c:v>
                </c:pt>
                <c:pt idx="13">
                  <c:v>0.67580440304826417</c:v>
                </c:pt>
                <c:pt idx="14">
                  <c:v>0.64881248666714075</c:v>
                </c:pt>
                <c:pt idx="15">
                  <c:v>0.64457632706890866</c:v>
                </c:pt>
                <c:pt idx="16">
                  <c:v>0.42541935212982596</c:v>
                </c:pt>
                <c:pt idx="17">
                  <c:v>0.5489169675090253</c:v>
                </c:pt>
                <c:pt idx="18">
                  <c:v>0.355281207133059</c:v>
                </c:pt>
                <c:pt idx="19">
                  <c:v>0.8041233818123702</c:v>
                </c:pt>
                <c:pt idx="20">
                  <c:v>0.72768264296312435</c:v>
                </c:pt>
                <c:pt idx="21">
                  <c:v>0.47829461375278109</c:v>
                </c:pt>
                <c:pt idx="22">
                  <c:v>0.78832878662080419</c:v>
                </c:pt>
                <c:pt idx="23">
                  <c:v>0.6109008084178108</c:v>
                </c:pt>
                <c:pt idx="24">
                  <c:v>0.38052366040361862</c:v>
                </c:pt>
                <c:pt idx="25">
                  <c:v>0.68366007153529229</c:v>
                </c:pt>
                <c:pt idx="26">
                  <c:v>0.44308840445529274</c:v>
                </c:pt>
                <c:pt idx="27">
                  <c:v>0.20410121117640004</c:v>
                </c:pt>
                <c:pt idx="28">
                  <c:v>4.0373875667452805E-2</c:v>
                </c:pt>
                <c:pt idx="29">
                  <c:v>0.79917836126848896</c:v>
                </c:pt>
                <c:pt idx="30">
                  <c:v>0.46145500395859601</c:v>
                </c:pt>
                <c:pt idx="31">
                  <c:v>0.59628797272163669</c:v>
                </c:pt>
                <c:pt idx="32">
                  <c:v>0.83505021557844727</c:v>
                </c:pt>
                <c:pt idx="33">
                  <c:v>0.79677962620661325</c:v>
                </c:pt>
                <c:pt idx="34">
                  <c:v>0.83722439326863451</c:v>
                </c:pt>
                <c:pt idx="35">
                  <c:v>0.93883925328684537</c:v>
                </c:pt>
                <c:pt idx="36">
                  <c:v>0.9763984821865499</c:v>
                </c:pt>
                <c:pt idx="37">
                  <c:v>0.57764934615282182</c:v>
                </c:pt>
                <c:pt idx="38">
                  <c:v>0.70857947330646498</c:v>
                </c:pt>
                <c:pt idx="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D-B74F-9A93-E4C4D1953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4122111"/>
        <c:axId val="1462490879"/>
      </c:barChart>
      <c:catAx>
        <c:axId val="1484122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62490879"/>
        <c:crosses val="autoZero"/>
        <c:auto val="1"/>
        <c:lblAlgn val="ctr"/>
        <c:lblOffset val="100"/>
        <c:noMultiLvlLbl val="0"/>
      </c:catAx>
      <c:valAx>
        <c:axId val="146249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8412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NABP36!$C$86</c:f>
              <c:strCache>
                <c:ptCount val="1"/>
                <c:pt idx="0">
                  <c:v>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NABP36!$D$85:$BJ$85</c:f>
              <c:strCache>
                <c:ptCount val="59"/>
                <c:pt idx="0">
                  <c:v>1966</c:v>
                </c:pt>
                <c:pt idx="1">
                  <c:v>1967</c:v>
                </c:pt>
                <c:pt idx="2">
                  <c:v>1968</c:v>
                </c:pt>
                <c:pt idx="3">
                  <c:v>1969</c:v>
                </c:pt>
                <c:pt idx="4">
                  <c:v>1970</c:v>
                </c:pt>
                <c:pt idx="5">
                  <c:v>1971</c:v>
                </c:pt>
                <c:pt idx="6">
                  <c:v>1972</c:v>
                </c:pt>
                <c:pt idx="7">
                  <c:v>1973</c:v>
                </c:pt>
                <c:pt idx="8">
                  <c:v>1974</c:v>
                </c:pt>
                <c:pt idx="9">
                  <c:v>1975</c:v>
                </c:pt>
                <c:pt idx="10">
                  <c:v>1976</c:v>
                </c:pt>
                <c:pt idx="11">
                  <c:v>1977</c:v>
                </c:pt>
                <c:pt idx="12">
                  <c:v>1978</c:v>
                </c:pt>
                <c:pt idx="13">
                  <c:v>1979</c:v>
                </c:pt>
                <c:pt idx="14">
                  <c:v>1980</c:v>
                </c:pt>
                <c:pt idx="15">
                  <c:v>1981</c:v>
                </c:pt>
                <c:pt idx="16">
                  <c:v>1982</c:v>
                </c:pt>
                <c:pt idx="17">
                  <c:v>1983</c:v>
                </c:pt>
                <c:pt idx="18">
                  <c:v>1984</c:v>
                </c:pt>
                <c:pt idx="19">
                  <c:v>1985</c:v>
                </c:pt>
                <c:pt idx="20">
                  <c:v>1986</c:v>
                </c:pt>
                <c:pt idx="21">
                  <c:v>1987</c:v>
                </c:pt>
                <c:pt idx="22">
                  <c:v>1988</c:v>
                </c:pt>
                <c:pt idx="23">
                  <c:v>1989</c:v>
                </c:pt>
                <c:pt idx="24">
                  <c:v>1990</c:v>
                </c:pt>
                <c:pt idx="25">
                  <c:v>1991</c:v>
                </c:pt>
                <c:pt idx="26">
                  <c:v>1992</c:v>
                </c:pt>
                <c:pt idx="27">
                  <c:v>1993</c:v>
                </c:pt>
                <c:pt idx="28">
                  <c:v>1994</c:v>
                </c:pt>
                <c:pt idx="29">
                  <c:v>1995</c:v>
                </c:pt>
                <c:pt idx="30">
                  <c:v>1996</c:v>
                </c:pt>
                <c:pt idx="31">
                  <c:v>1997</c:v>
                </c:pt>
                <c:pt idx="32">
                  <c:v>1998</c:v>
                </c:pt>
                <c:pt idx="33">
                  <c:v>1999</c:v>
                </c:pt>
                <c:pt idx="34">
                  <c:v>2000</c:v>
                </c:pt>
                <c:pt idx="35">
                  <c:v>2001</c:v>
                </c:pt>
                <c:pt idx="36">
                  <c:v>2002</c:v>
                </c:pt>
                <c:pt idx="37">
                  <c:v>2003</c:v>
                </c:pt>
                <c:pt idx="38">
                  <c:v>2004</c:v>
                </c:pt>
                <c:pt idx="39">
                  <c:v>2005</c:v>
                </c:pt>
                <c:pt idx="40">
                  <c:v>2006</c:v>
                </c:pt>
                <c:pt idx="41">
                  <c:v>2007</c:v>
                </c:pt>
                <c:pt idx="42">
                  <c:v>2008</c:v>
                </c:pt>
                <c:pt idx="43">
                  <c:v>2009</c:v>
                </c:pt>
                <c:pt idx="44">
                  <c:v>2010</c:v>
                </c:pt>
                <c:pt idx="45">
                  <c:v>2011</c:v>
                </c:pt>
                <c:pt idx="46">
                  <c:v>2012</c:v>
                </c:pt>
                <c:pt idx="47">
                  <c:v>2013</c:v>
                </c:pt>
                <c:pt idx="48">
                  <c:v>2014</c:v>
                </c:pt>
                <c:pt idx="49">
                  <c:v>2015</c:v>
                </c:pt>
                <c:pt idx="50">
                  <c:v>2016</c:v>
                </c:pt>
                <c:pt idx="51">
                  <c:v>2017</c:v>
                </c:pt>
                <c:pt idx="52">
                  <c:v>2018</c:v>
                </c:pt>
                <c:pt idx="53">
                  <c:v>2019</c:v>
                </c:pt>
                <c:pt idx="54">
                  <c:v>2020</c:v>
                </c:pt>
                <c:pt idx="55">
                  <c:v>2021</c:v>
                </c:pt>
                <c:pt idx="56">
                  <c:v>2022</c:v>
                </c:pt>
                <c:pt idx="57">
                  <c:v>2023</c:v>
                </c:pt>
                <c:pt idx="58">
                  <c:v>2024</c:v>
                </c:pt>
              </c:strCache>
            </c:strRef>
          </c:cat>
          <c:val>
            <c:numRef>
              <c:f>NABP36!$AT$87:$BJ$87</c:f>
              <c:numCache>
                <c:formatCode>General</c:formatCode>
                <c:ptCount val="17"/>
                <c:pt idx="0">
                  <c:v>0.79203902195499631</c:v>
                </c:pt>
                <c:pt idx="1">
                  <c:v>0.83581310590174263</c:v>
                </c:pt>
                <c:pt idx="2">
                  <c:v>0.80960616831111942</c:v>
                </c:pt>
                <c:pt idx="3">
                  <c:v>0.80071515320994446</c:v>
                </c:pt>
                <c:pt idx="4">
                  <c:v>0.79068728652704978</c:v>
                </c:pt>
                <c:pt idx="5">
                  <c:v>0.78255085151935311</c:v>
                </c:pt>
                <c:pt idx="6">
                  <c:v>0.77835687091779115</c:v>
                </c:pt>
                <c:pt idx="7">
                  <c:v>0.77934820691883511</c:v>
                </c:pt>
                <c:pt idx="8">
                  <c:v>0.77268256396781188</c:v>
                </c:pt>
                <c:pt idx="9">
                  <c:v>0.76111792198624029</c:v>
                </c:pt>
                <c:pt idx="10">
                  <c:v>0.76840090142176931</c:v>
                </c:pt>
                <c:pt idx="11">
                  <c:v>0.76911026490809387</c:v>
                </c:pt>
                <c:pt idx="12">
                  <c:v>0.77516919636673065</c:v>
                </c:pt>
                <c:pt idx="13">
                  <c:v>0.7427409173797167</c:v>
                </c:pt>
                <c:pt idx="14">
                  <c:v>0.70266659984966173</c:v>
                </c:pt>
                <c:pt idx="15">
                  <c:v>0.74043693272256716</c:v>
                </c:pt>
                <c:pt idx="16">
                  <c:v>0.74147861992389452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C-8049-B866-D00BD3824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760175"/>
        <c:axId val="1484719631"/>
      </c:areaChart>
      <c:catAx>
        <c:axId val="1458760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84719631"/>
        <c:crosses val="autoZero"/>
        <c:auto val="1"/>
        <c:lblAlgn val="ctr"/>
        <c:lblOffset val="100"/>
        <c:noMultiLvlLbl val="0"/>
      </c:catAx>
      <c:valAx>
        <c:axId val="148471963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5876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Sheet1!$C$2:$C$41</c:f>
              <c:strCache>
                <c:ptCount val="40"/>
                <c:pt idx="0">
                  <c:v>SB Private husholdninger med ansat medhjælp</c:v>
                </c:pt>
                <c:pt idx="1">
                  <c:v>QB Sociale institutioner</c:v>
                </c:pt>
                <c:pt idx="2">
                  <c:v>QA Sundhedsvæsen</c:v>
                </c:pt>
                <c:pt idx="3">
                  <c:v>Heraf: Offentlig forvaltning og service</c:v>
                </c:pt>
                <c:pt idx="4">
                  <c:v>P Undervisning</c:v>
                </c:pt>
                <c:pt idx="5">
                  <c:v>N Rejsebureauer, rengøring og anden operationel service</c:v>
                </c:pt>
                <c:pt idx="6">
                  <c:v>F Bygge og anlæg</c:v>
                </c:pt>
                <c:pt idx="7">
                  <c:v>MA Rådgivning mv.</c:v>
                </c:pt>
                <c:pt idx="8">
                  <c:v>O Offentlig administration, forsvar og politi</c:v>
                </c:pt>
                <c:pt idx="9">
                  <c:v>I Hoteller og restauranter</c:v>
                </c:pt>
                <c:pt idx="10">
                  <c:v>CH Metalindustri</c:v>
                </c:pt>
                <c:pt idx="11">
                  <c:v>G Handel</c:v>
                </c:pt>
                <c:pt idx="12">
                  <c:v>CC Træ- og papirindustri, trykkerier</c:v>
                </c:pt>
                <c:pt idx="13">
                  <c:v>SA Andre serviceydelser</c:v>
                </c:pt>
                <c:pt idx="14">
                  <c:v>JC It- og informationstjenester</c:v>
                </c:pt>
                <c:pt idx="15">
                  <c:v>CJ Fremst. af elektrisk udstyr</c:v>
                </c:pt>
                <c:pt idx="16">
                  <c:v>CB Tekstil- og læderindustri</c:v>
                </c:pt>
                <c:pt idx="17">
                  <c:v>CK Maskinindustri</c:v>
                </c:pt>
                <c:pt idx="18">
                  <c:v>CL Transportmiddelindustri</c:v>
                </c:pt>
                <c:pt idx="19">
                  <c:v>CA Føde-, drikke- og tobaksvareindustri</c:v>
                </c:pt>
                <c:pt idx="20">
                  <c:v>CG Plast-, glas- og betonindustri</c:v>
                </c:pt>
                <c:pt idx="21">
                  <c:v>JA Forlag, tv og radio</c:v>
                </c:pt>
                <c:pt idx="22">
                  <c:v>MC Reklame og øvrige erhvervsservice</c:v>
                </c:pt>
                <c:pt idx="23">
                  <c:v>I alt</c:v>
                </c:pt>
                <c:pt idx="24">
                  <c:v>R Kultur og fritid</c:v>
                </c:pt>
                <c:pt idx="25">
                  <c:v>D Energiforsyning</c:v>
                </c:pt>
                <c:pt idx="26">
                  <c:v>A Landbrug, skovbrug og fiskeri</c:v>
                </c:pt>
                <c:pt idx="27">
                  <c:v>H Transport</c:v>
                </c:pt>
                <c:pt idx="28">
                  <c:v>MB Forskning og udvikling</c:v>
                </c:pt>
                <c:pt idx="29">
                  <c:v>K Finansiering og forsikring</c:v>
                </c:pt>
                <c:pt idx="30">
                  <c:v>CI Elektronikindustri</c:v>
                </c:pt>
                <c:pt idx="31">
                  <c:v>CM Møbel- og anden industri mv.</c:v>
                </c:pt>
                <c:pt idx="32">
                  <c:v>JB Telekommunikation</c:v>
                </c:pt>
                <c:pt idx="33">
                  <c:v>E Vandforsyning og renovation</c:v>
                </c:pt>
                <c:pt idx="34">
                  <c:v>CE Kemisk industri</c:v>
                </c:pt>
                <c:pt idx="35">
                  <c:v>B Råstofindvinding</c:v>
                </c:pt>
                <c:pt idx="36">
                  <c:v>LA Ejendomshandel og udlejning af erhvervsejendomme</c:v>
                </c:pt>
                <c:pt idx="37">
                  <c:v>CD Olieraffinaderier mv.</c:v>
                </c:pt>
                <c:pt idx="38">
                  <c:v>CF Medicinalindustri</c:v>
                </c:pt>
                <c:pt idx="39">
                  <c:v>LB Boliger</c:v>
                </c:pt>
              </c:strCache>
            </c:strRef>
          </c:cat>
          <c:val>
            <c:numRef>
              <c:f>Sheet1!$D$2:$D$41</c:f>
              <c:numCache>
                <c:formatCode>0%</c:formatCode>
                <c:ptCount val="40"/>
                <c:pt idx="0">
                  <c:v>1</c:v>
                </c:pt>
                <c:pt idx="1">
                  <c:v>0.9763984821865499</c:v>
                </c:pt>
                <c:pt idx="2">
                  <c:v>0.93883925328684537</c:v>
                </c:pt>
                <c:pt idx="3">
                  <c:v>0.86176882517712972</c:v>
                </c:pt>
                <c:pt idx="4">
                  <c:v>0.83722439326863451</c:v>
                </c:pt>
                <c:pt idx="5">
                  <c:v>0.83505021557844727</c:v>
                </c:pt>
                <c:pt idx="6">
                  <c:v>0.8041233818123702</c:v>
                </c:pt>
                <c:pt idx="7">
                  <c:v>0.79917836126848896</c:v>
                </c:pt>
                <c:pt idx="8">
                  <c:v>0.79677962620661325</c:v>
                </c:pt>
                <c:pt idx="9">
                  <c:v>0.78832878662080419</c:v>
                </c:pt>
                <c:pt idx="10">
                  <c:v>0.74107523823069266</c:v>
                </c:pt>
                <c:pt idx="11">
                  <c:v>0.72768264296312435</c:v>
                </c:pt>
                <c:pt idx="12">
                  <c:v>0.72359550561797747</c:v>
                </c:pt>
                <c:pt idx="13">
                  <c:v>0.70857947330646498</c:v>
                </c:pt>
                <c:pt idx="14">
                  <c:v>0.68366007153529229</c:v>
                </c:pt>
                <c:pt idx="15">
                  <c:v>0.67580440304826417</c:v>
                </c:pt>
                <c:pt idx="16">
                  <c:v>0.66187464059804491</c:v>
                </c:pt>
                <c:pt idx="17">
                  <c:v>0.64881248666714075</c:v>
                </c:pt>
                <c:pt idx="18">
                  <c:v>0.64457632706890866</c:v>
                </c:pt>
                <c:pt idx="19">
                  <c:v>0.62294280194654339</c:v>
                </c:pt>
                <c:pt idx="20">
                  <c:v>0.62159022259398666</c:v>
                </c:pt>
                <c:pt idx="21">
                  <c:v>0.6109008084178108</c:v>
                </c:pt>
                <c:pt idx="22">
                  <c:v>0.59628797272163669</c:v>
                </c:pt>
                <c:pt idx="23">
                  <c:v>0.58016709268747813</c:v>
                </c:pt>
                <c:pt idx="24">
                  <c:v>0.57764934615282182</c:v>
                </c:pt>
                <c:pt idx="25">
                  <c:v>0.5489169675090253</c:v>
                </c:pt>
                <c:pt idx="26">
                  <c:v>0.53080690899716421</c:v>
                </c:pt>
                <c:pt idx="27">
                  <c:v>0.47829461375278109</c:v>
                </c:pt>
                <c:pt idx="28">
                  <c:v>0.46145500395859601</c:v>
                </c:pt>
                <c:pt idx="29">
                  <c:v>0.44308840445529274</c:v>
                </c:pt>
                <c:pt idx="30">
                  <c:v>0.434126679462572</c:v>
                </c:pt>
                <c:pt idx="31">
                  <c:v>0.42541935212982596</c:v>
                </c:pt>
                <c:pt idx="32">
                  <c:v>0.38052366040361862</c:v>
                </c:pt>
                <c:pt idx="33">
                  <c:v>0.355281207133059</c:v>
                </c:pt>
                <c:pt idx="34">
                  <c:v>0.30952113519787339</c:v>
                </c:pt>
                <c:pt idx="35">
                  <c:v>0.27537116127720157</c:v>
                </c:pt>
                <c:pt idx="36">
                  <c:v>0.20410121117640004</c:v>
                </c:pt>
                <c:pt idx="37">
                  <c:v>0.19121849831124968</c:v>
                </c:pt>
                <c:pt idx="38">
                  <c:v>0.14672175943560273</c:v>
                </c:pt>
                <c:pt idx="39">
                  <c:v>4.0373875667452805E-2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5-AF4A-8136-792FB058C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6867663"/>
        <c:axId val="1918803375"/>
      </c:barChart>
      <c:catAx>
        <c:axId val="926867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18803375"/>
        <c:crosses val="autoZero"/>
        <c:auto val="1"/>
        <c:lblAlgn val="ctr"/>
        <c:lblOffset val="100"/>
        <c:noMultiLvlLbl val="0"/>
      </c:catAx>
      <c:valAx>
        <c:axId val="191880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2686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2806700</xdr:colOff>
      <xdr:row>89</xdr:row>
      <xdr:rowOff>17639</xdr:rowOff>
    </xdr:from>
    <xdr:to>
      <xdr:col>13</xdr:col>
      <xdr:colOff>23392</xdr:colOff>
      <xdr:row>108</xdr:row>
      <xdr:rowOff>175621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8C578-D598-ECF9-7E39-4FF0F6771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360150</xdr:colOff>
      <xdr:row>113</xdr:row>
      <xdr:rowOff>9478</xdr:rowOff>
    </xdr:from>
    <xdr:to>
      <xdr:col>13</xdr:col>
      <xdr:colOff>0</xdr:colOff>
      <xdr:row>131</xdr:row>
      <xdr:rowOff>47387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70767E-0041-454E-8CFD-0A032568E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11043</xdr:colOff>
      <xdr:row>88</xdr:row>
      <xdr:rowOff>163443</xdr:rowOff>
    </xdr:from>
    <xdr:to>
      <xdr:col>37</xdr:col>
      <xdr:colOff>99392</xdr:colOff>
      <xdr:row>121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2540B8-3515-0BCB-20B7-99FE1E3A0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217985</xdr:colOff>
      <xdr:row>113</xdr:row>
      <xdr:rowOff>104253</xdr:rowOff>
    </xdr:from>
    <xdr:to>
      <xdr:col>24</xdr:col>
      <xdr:colOff>166617</xdr:colOff>
      <xdr:row>129</xdr:row>
      <xdr:rowOff>81317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1BD55C-02D0-6D27-945A-8DED98278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5448" y="21552089"/>
          <a:ext cx="7454900" cy="3009900"/>
        </a:xfrm>
        <a:prstGeom prst="rect">
          <a:avLst/>
        </a:prstGeom>
      </xdr:spPr>
    </xdr:pic>
    <xdr:clientData/>
  </xdr:twoCellAnchor>
  <xdr:twoCellAnchor>
    <xdr:from>
      <xdr:col>2</xdr:col>
      <xdr:colOff>1754909</xdr:colOff>
      <xdr:row>113</xdr:row>
      <xdr:rowOff>103909</xdr:rowOff>
    </xdr:from>
    <xdr:to>
      <xdr:col>7</xdr:col>
      <xdr:colOff>113213</xdr:colOff>
      <xdr:row>131</xdr:row>
      <xdr:rowOff>141818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5F7A0B-5F87-A947-AC69-1D967A684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641350</xdr:colOff>
      <xdr:row>2</xdr:row>
      <xdr:rowOff>95250</xdr:rowOff>
    </xdr:from>
    <xdr:to>
      <xdr:col>14</xdr:col>
      <xdr:colOff>88900</xdr:colOff>
      <xdr:row>41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1AE7D-B1A6-D96B-2E8F-7BCFD0F9B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3</xdr:row>
      <xdr:rowOff>0</xdr:rowOff>
    </xdr:from>
    <xdr:to>
      <xdr:col>23</xdr:col>
      <xdr:colOff>817033</xdr:colOff>
      <xdr:row>45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B0419C-CEBA-BC7A-915D-6D7471287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46000" y="584200"/>
          <a:ext cx="7454900" cy="836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70"/>
  <sheetViews>
    <sheetView tabSelected="1" topLeftCell="C99" zoomScale="150" workbookViewId="0">
      <selection activeCell="K111" sqref="K111"/>
    </sheetView>
  </sheetViews>
  <sheetFormatPr baseColWidth="10" defaultColWidth="8.83203125" defaultRowHeight="15" x14ac:dyDescent="0.2"/>
  <cols>
    <col min="1" max="1" width="16" customWidth="1"/>
    <col min="2" max="2" width="29.33203125" customWidth="1"/>
    <col min="3" max="3" width="40.6640625" customWidth="1"/>
    <col min="4" max="6" width="7" customWidth="1"/>
    <col min="7" max="35" width="9" customWidth="1"/>
    <col min="36" max="62" width="10" customWidth="1"/>
  </cols>
  <sheetData>
    <row r="1" spans="1:62" ht="17" x14ac:dyDescent="0.2">
      <c r="A1" s="1" t="s">
        <v>0</v>
      </c>
    </row>
    <row r="2" spans="1:62" x14ac:dyDescent="0.2">
      <c r="A2" s="2" t="s">
        <v>1</v>
      </c>
    </row>
    <row r="3" spans="1:62" x14ac:dyDescent="0.2"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</row>
    <row r="4" spans="1:62" x14ac:dyDescent="0.2">
      <c r="A4" s="3" t="s">
        <v>61</v>
      </c>
      <c r="B4" s="3" t="s">
        <v>62</v>
      </c>
      <c r="C4" s="3" t="s">
        <v>63</v>
      </c>
      <c r="D4" s="4">
        <v>73555</v>
      </c>
      <c r="E4" s="4">
        <v>80538</v>
      </c>
      <c r="F4" s="4">
        <v>88782</v>
      </c>
      <c r="G4" s="4">
        <v>101289</v>
      </c>
      <c r="H4" s="4">
        <v>112399</v>
      </c>
      <c r="I4" s="4">
        <v>125050</v>
      </c>
      <c r="J4" s="4">
        <v>142103</v>
      </c>
      <c r="K4" s="4">
        <v>164960</v>
      </c>
      <c r="L4" s="4">
        <v>185735</v>
      </c>
      <c r="M4" s="4">
        <v>207776</v>
      </c>
      <c r="N4" s="4">
        <v>238402</v>
      </c>
      <c r="O4" s="4">
        <v>262798</v>
      </c>
      <c r="P4" s="4">
        <v>290289</v>
      </c>
      <c r="Q4" s="4">
        <v>319707</v>
      </c>
      <c r="R4" s="4">
        <v>344947</v>
      </c>
      <c r="S4" s="4">
        <v>378096</v>
      </c>
      <c r="T4" s="4">
        <v>434678</v>
      </c>
      <c r="U4" s="4">
        <v>476741</v>
      </c>
      <c r="V4" s="4">
        <v>526271</v>
      </c>
      <c r="W4" s="4">
        <v>568685</v>
      </c>
      <c r="X4" s="4">
        <v>602060</v>
      </c>
      <c r="Y4" s="4">
        <v>638643</v>
      </c>
      <c r="Z4" s="4">
        <v>666051</v>
      </c>
      <c r="AA4" s="4">
        <v>708784</v>
      </c>
      <c r="AB4" s="4">
        <v>742650</v>
      </c>
      <c r="AC4" s="4">
        <v>774148</v>
      </c>
      <c r="AD4" s="4">
        <v>803763</v>
      </c>
      <c r="AE4" s="4">
        <v>811131</v>
      </c>
      <c r="AF4" s="4">
        <v>861185</v>
      </c>
      <c r="AG4" s="4">
        <v>896752</v>
      </c>
      <c r="AH4" s="4">
        <v>935686</v>
      </c>
      <c r="AI4" s="4">
        <v>983183</v>
      </c>
      <c r="AJ4" s="4">
        <v>1009938</v>
      </c>
      <c r="AK4" s="4">
        <v>1058978</v>
      </c>
      <c r="AL4" s="4">
        <v>1142218</v>
      </c>
      <c r="AM4" s="4">
        <v>1181874</v>
      </c>
      <c r="AN4" s="4">
        <v>1212912</v>
      </c>
      <c r="AO4" s="4">
        <v>1238162</v>
      </c>
      <c r="AP4" s="4">
        <v>1294993</v>
      </c>
      <c r="AQ4" s="4">
        <v>1351792</v>
      </c>
      <c r="AR4" s="4">
        <v>1431977</v>
      </c>
      <c r="AS4" s="4">
        <v>1479816</v>
      </c>
      <c r="AT4" s="4">
        <v>1554407</v>
      </c>
      <c r="AU4" s="4">
        <v>1492610</v>
      </c>
      <c r="AV4" s="4">
        <v>1565161</v>
      </c>
      <c r="AW4" s="4">
        <v>1594903</v>
      </c>
      <c r="AX4" s="4">
        <v>1634282</v>
      </c>
      <c r="AY4" s="4">
        <v>1675417</v>
      </c>
      <c r="AZ4" s="4">
        <v>1717820</v>
      </c>
      <c r="BA4" s="4">
        <v>1761019</v>
      </c>
      <c r="BB4" s="4">
        <v>1822909</v>
      </c>
      <c r="BC4" s="4">
        <v>1903818</v>
      </c>
      <c r="BD4" s="4">
        <v>1945815</v>
      </c>
      <c r="BE4" s="4">
        <v>2005035</v>
      </c>
      <c r="BF4" s="4">
        <v>2021320</v>
      </c>
      <c r="BG4" s="4">
        <v>2224248</v>
      </c>
      <c r="BH4" s="4">
        <v>2494375</v>
      </c>
      <c r="BI4" s="4">
        <v>2469030</v>
      </c>
      <c r="BJ4" s="4">
        <v>2593770</v>
      </c>
    </row>
    <row r="5" spans="1:62" x14ac:dyDescent="0.2">
      <c r="C5" s="3" t="s">
        <v>64</v>
      </c>
      <c r="D5" s="4">
        <v>10707</v>
      </c>
      <c r="E5" s="4">
        <v>12513</v>
      </c>
      <c r="F5" s="4">
        <v>14537</v>
      </c>
      <c r="G5" s="4">
        <v>17072</v>
      </c>
      <c r="H5" s="4">
        <v>20404</v>
      </c>
      <c r="I5" s="4">
        <v>24175</v>
      </c>
      <c r="J5" s="4">
        <v>27656</v>
      </c>
      <c r="K5" s="4">
        <v>31573</v>
      </c>
      <c r="L5" s="4">
        <v>37981</v>
      </c>
      <c r="M5" s="4">
        <v>44546</v>
      </c>
      <c r="N5" s="4">
        <v>50981</v>
      </c>
      <c r="O5" s="4">
        <v>56874</v>
      </c>
      <c r="P5" s="4">
        <v>64191</v>
      </c>
      <c r="Q5" s="4">
        <v>72534</v>
      </c>
      <c r="R5" s="4">
        <v>82181</v>
      </c>
      <c r="S5" s="4">
        <v>93994</v>
      </c>
      <c r="T5" s="4">
        <v>109733</v>
      </c>
      <c r="U5" s="4">
        <v>118588</v>
      </c>
      <c r="V5" s="4">
        <v>123728</v>
      </c>
      <c r="W5" s="4">
        <v>130525</v>
      </c>
      <c r="X5" s="4">
        <v>134478</v>
      </c>
      <c r="Y5" s="4">
        <v>146718</v>
      </c>
      <c r="Z5" s="4">
        <v>157926</v>
      </c>
      <c r="AA5" s="4">
        <v>165331</v>
      </c>
      <c r="AB5" s="4">
        <v>169512</v>
      </c>
      <c r="AC5" s="4">
        <v>176807</v>
      </c>
      <c r="AD5" s="4">
        <v>183318</v>
      </c>
      <c r="AE5" s="4">
        <v>188631</v>
      </c>
      <c r="AF5" s="4">
        <v>194023</v>
      </c>
      <c r="AG5" s="4">
        <v>198064</v>
      </c>
      <c r="AH5" s="4">
        <v>207231</v>
      </c>
      <c r="AI5" s="4">
        <v>215834</v>
      </c>
      <c r="AJ5" s="4">
        <v>226416</v>
      </c>
      <c r="AK5" s="4">
        <v>237206</v>
      </c>
      <c r="AL5" s="4">
        <v>245434</v>
      </c>
      <c r="AM5" s="4">
        <v>257315</v>
      </c>
      <c r="AN5" s="4">
        <v>268488</v>
      </c>
      <c r="AO5" s="4">
        <v>276247</v>
      </c>
      <c r="AP5" s="4">
        <v>286449</v>
      </c>
      <c r="AQ5" s="4">
        <v>293639</v>
      </c>
      <c r="AR5" s="4">
        <v>305508</v>
      </c>
      <c r="AS5" s="4">
        <v>316661</v>
      </c>
      <c r="AT5" s="4">
        <v>333114</v>
      </c>
      <c r="AU5" s="4">
        <v>352240</v>
      </c>
      <c r="AV5" s="4">
        <v>365746</v>
      </c>
      <c r="AW5" s="4">
        <v>362095</v>
      </c>
      <c r="AX5" s="4">
        <v>366956</v>
      </c>
      <c r="AY5" s="4">
        <v>369505</v>
      </c>
      <c r="AZ5" s="4">
        <v>375331</v>
      </c>
      <c r="BA5" s="4">
        <v>380728</v>
      </c>
      <c r="BB5" s="4">
        <v>384248</v>
      </c>
      <c r="BC5" s="4">
        <v>390231</v>
      </c>
      <c r="BD5" s="4">
        <v>399565</v>
      </c>
      <c r="BE5" s="4">
        <v>408834</v>
      </c>
      <c r="BF5" s="4">
        <v>417306</v>
      </c>
      <c r="BG5" s="4">
        <v>436255</v>
      </c>
      <c r="BH5" s="4">
        <v>449242</v>
      </c>
      <c r="BI5" s="4">
        <v>462545</v>
      </c>
      <c r="BJ5" s="4">
        <v>485520</v>
      </c>
    </row>
    <row r="6" spans="1:62" x14ac:dyDescent="0.2">
      <c r="C6" s="3" t="s">
        <v>65</v>
      </c>
      <c r="D6" s="4">
        <v>5513</v>
      </c>
      <c r="E6" s="4">
        <v>5228</v>
      </c>
      <c r="F6" s="4">
        <v>5474</v>
      </c>
      <c r="G6" s="4">
        <v>6499</v>
      </c>
      <c r="H6" s="4">
        <v>5897</v>
      </c>
      <c r="I6" s="4">
        <v>6460</v>
      </c>
      <c r="J6" s="4">
        <v>7727</v>
      </c>
      <c r="K6" s="4">
        <v>9809</v>
      </c>
      <c r="L6" s="4">
        <v>10736</v>
      </c>
      <c r="M6" s="4">
        <v>10266</v>
      </c>
      <c r="N6" s="4">
        <v>11579</v>
      </c>
      <c r="O6" s="4">
        <v>13938</v>
      </c>
      <c r="P6" s="4">
        <v>15675</v>
      </c>
      <c r="Q6" s="4">
        <v>14709</v>
      </c>
      <c r="R6" s="4">
        <v>16333</v>
      </c>
      <c r="S6" s="4">
        <v>19084</v>
      </c>
      <c r="T6" s="4">
        <v>23420</v>
      </c>
      <c r="U6" s="4">
        <v>22357</v>
      </c>
      <c r="V6" s="4">
        <v>28485</v>
      </c>
      <c r="W6" s="4">
        <v>28015</v>
      </c>
      <c r="X6" s="4">
        <v>27631</v>
      </c>
      <c r="Y6" s="4">
        <v>25832</v>
      </c>
      <c r="Z6" s="4">
        <v>24595</v>
      </c>
      <c r="AA6" s="4">
        <v>28771</v>
      </c>
      <c r="AB6" s="4">
        <v>28063</v>
      </c>
      <c r="AC6" s="4">
        <v>26856</v>
      </c>
      <c r="AD6" s="4">
        <v>25580</v>
      </c>
      <c r="AE6" s="4">
        <v>24745</v>
      </c>
      <c r="AF6" s="4">
        <v>25615</v>
      </c>
      <c r="AG6" s="4">
        <v>29316</v>
      </c>
      <c r="AH6" s="4">
        <v>30069</v>
      </c>
      <c r="AI6" s="4">
        <v>29904</v>
      </c>
      <c r="AJ6" s="4">
        <v>25164</v>
      </c>
      <c r="AK6" s="4">
        <v>23832</v>
      </c>
      <c r="AL6" s="4">
        <v>28502</v>
      </c>
      <c r="AM6" s="4">
        <v>31697</v>
      </c>
      <c r="AN6" s="4">
        <v>24769</v>
      </c>
      <c r="AO6" s="4">
        <v>22835</v>
      </c>
      <c r="AP6" s="4">
        <v>24107</v>
      </c>
      <c r="AQ6" s="4">
        <v>17977</v>
      </c>
      <c r="AR6" s="4">
        <v>19326</v>
      </c>
      <c r="AS6" s="4">
        <v>20401</v>
      </c>
      <c r="AT6" s="4">
        <v>15232</v>
      </c>
      <c r="AU6" s="4">
        <v>13956</v>
      </c>
      <c r="AV6" s="4">
        <v>21545</v>
      </c>
      <c r="AW6" s="4">
        <v>23445</v>
      </c>
      <c r="AX6" s="4">
        <v>30620</v>
      </c>
      <c r="AY6" s="4">
        <v>24323</v>
      </c>
      <c r="AZ6" s="4">
        <v>26801</v>
      </c>
      <c r="BA6" s="4">
        <v>18441</v>
      </c>
      <c r="BB6" s="4">
        <v>19519</v>
      </c>
      <c r="BC6" s="4">
        <v>27586</v>
      </c>
      <c r="BD6" s="4">
        <v>22369</v>
      </c>
      <c r="BE6" s="4">
        <v>28593</v>
      </c>
      <c r="BF6" s="4">
        <v>31119</v>
      </c>
      <c r="BG6" s="4">
        <v>27602</v>
      </c>
      <c r="BH6" s="4">
        <v>28377</v>
      </c>
      <c r="BI6" s="4">
        <v>28935</v>
      </c>
      <c r="BJ6" s="4">
        <v>27153</v>
      </c>
    </row>
    <row r="7" spans="1:62" x14ac:dyDescent="0.2">
      <c r="C7" s="3" t="s">
        <v>66</v>
      </c>
      <c r="D7" s="4">
        <v>240</v>
      </c>
      <c r="E7" s="4">
        <v>243</v>
      </c>
      <c r="F7" s="4">
        <v>265</v>
      </c>
      <c r="G7" s="4">
        <v>281</v>
      </c>
      <c r="H7" s="4">
        <v>285</v>
      </c>
      <c r="I7" s="4">
        <v>278</v>
      </c>
      <c r="J7" s="4">
        <v>338</v>
      </c>
      <c r="K7" s="4">
        <v>386</v>
      </c>
      <c r="L7" s="4">
        <v>375</v>
      </c>
      <c r="M7" s="4">
        <v>436</v>
      </c>
      <c r="N7" s="4">
        <v>472</v>
      </c>
      <c r="O7" s="4">
        <v>729</v>
      </c>
      <c r="P7" s="4">
        <v>695</v>
      </c>
      <c r="Q7" s="4">
        <v>911</v>
      </c>
      <c r="R7" s="4">
        <v>767</v>
      </c>
      <c r="S7" s="4">
        <v>1760</v>
      </c>
      <c r="T7" s="4">
        <v>3871</v>
      </c>
      <c r="U7" s="4">
        <v>4305</v>
      </c>
      <c r="V7" s="4">
        <v>4934</v>
      </c>
      <c r="W7" s="4">
        <v>7194</v>
      </c>
      <c r="X7" s="4">
        <v>5992</v>
      </c>
      <c r="Y7" s="4">
        <v>6144</v>
      </c>
      <c r="Z7" s="4">
        <v>5153</v>
      </c>
      <c r="AA7" s="4">
        <v>6827</v>
      </c>
      <c r="AB7" s="4">
        <v>7697</v>
      </c>
      <c r="AC7" s="4">
        <v>7575</v>
      </c>
      <c r="AD7" s="4">
        <v>7909</v>
      </c>
      <c r="AE7" s="4">
        <v>7632</v>
      </c>
      <c r="AF7" s="4">
        <v>7666</v>
      </c>
      <c r="AG7" s="4">
        <v>7933</v>
      </c>
      <c r="AH7" s="4">
        <v>11630</v>
      </c>
      <c r="AI7" s="4">
        <v>13565</v>
      </c>
      <c r="AJ7" s="4">
        <v>10478</v>
      </c>
      <c r="AK7" s="4">
        <v>16071</v>
      </c>
      <c r="AL7" s="4">
        <v>34332</v>
      </c>
      <c r="AM7" s="4">
        <v>29791</v>
      </c>
      <c r="AN7" s="4">
        <v>29621</v>
      </c>
      <c r="AO7" s="4">
        <v>29278</v>
      </c>
      <c r="AP7" s="4">
        <v>37614</v>
      </c>
      <c r="AQ7" s="4">
        <v>52554</v>
      </c>
      <c r="AR7" s="4">
        <v>59115</v>
      </c>
      <c r="AS7" s="4">
        <v>58510</v>
      </c>
      <c r="AT7" s="4">
        <v>66357</v>
      </c>
      <c r="AU7" s="4">
        <v>41111</v>
      </c>
      <c r="AV7" s="4">
        <v>45928</v>
      </c>
      <c r="AW7" s="4">
        <v>52514</v>
      </c>
      <c r="AX7" s="4">
        <v>52750</v>
      </c>
      <c r="AY7" s="4">
        <v>43592</v>
      </c>
      <c r="AZ7" s="4">
        <v>35043</v>
      </c>
      <c r="BA7" s="4">
        <v>18603</v>
      </c>
      <c r="BB7" s="4">
        <v>16673</v>
      </c>
      <c r="BC7" s="4">
        <v>18381</v>
      </c>
      <c r="BD7" s="4">
        <v>21903</v>
      </c>
      <c r="BE7" s="4">
        <v>16744</v>
      </c>
      <c r="BF7" s="4">
        <v>7070</v>
      </c>
      <c r="BG7" s="4">
        <v>10652</v>
      </c>
      <c r="BH7" s="4">
        <v>22504</v>
      </c>
      <c r="BI7" s="4">
        <v>14629</v>
      </c>
      <c r="BJ7" s="4">
        <v>14751</v>
      </c>
    </row>
    <row r="8" spans="1:62" x14ac:dyDescent="0.2">
      <c r="C8" s="3" t="s">
        <v>67</v>
      </c>
      <c r="D8" s="4">
        <v>3602</v>
      </c>
      <c r="E8" s="4">
        <v>4108</v>
      </c>
      <c r="F8" s="4">
        <v>4350</v>
      </c>
      <c r="G8" s="4">
        <v>4578</v>
      </c>
      <c r="H8" s="4">
        <v>5005</v>
      </c>
      <c r="I8" s="4">
        <v>5748</v>
      </c>
      <c r="J8" s="4">
        <v>5892</v>
      </c>
      <c r="K8" s="4">
        <v>7218</v>
      </c>
      <c r="L8" s="4">
        <v>7926</v>
      </c>
      <c r="M8" s="4">
        <v>9106</v>
      </c>
      <c r="N8" s="4">
        <v>9262</v>
      </c>
      <c r="O8" s="4">
        <v>11204</v>
      </c>
      <c r="P8" s="4">
        <v>11895</v>
      </c>
      <c r="Q8" s="4">
        <v>13493</v>
      </c>
      <c r="R8" s="4">
        <v>15120</v>
      </c>
      <c r="S8" s="4">
        <v>16749</v>
      </c>
      <c r="T8" s="4">
        <v>18824</v>
      </c>
      <c r="U8" s="4">
        <v>20111</v>
      </c>
      <c r="V8" s="4">
        <v>21889</v>
      </c>
      <c r="W8" s="4">
        <v>23109</v>
      </c>
      <c r="X8" s="4">
        <v>23064</v>
      </c>
      <c r="Y8" s="4">
        <v>23039</v>
      </c>
      <c r="Z8" s="4">
        <v>22920</v>
      </c>
      <c r="AA8" s="4">
        <v>22946</v>
      </c>
      <c r="AB8" s="4">
        <v>24096</v>
      </c>
      <c r="AC8" s="4">
        <v>25023</v>
      </c>
      <c r="AD8" s="4">
        <v>26474</v>
      </c>
      <c r="AE8" s="4">
        <v>26629</v>
      </c>
      <c r="AF8" s="4">
        <v>26087</v>
      </c>
      <c r="AG8" s="4">
        <v>27431</v>
      </c>
      <c r="AH8" s="4">
        <v>27119</v>
      </c>
      <c r="AI8" s="4">
        <v>29416</v>
      </c>
      <c r="AJ8" s="4">
        <v>28340</v>
      </c>
      <c r="AK8" s="4">
        <v>29401</v>
      </c>
      <c r="AL8" s="4">
        <v>30501</v>
      </c>
      <c r="AM8" s="4">
        <v>32301</v>
      </c>
      <c r="AN8" s="4">
        <v>35078</v>
      </c>
      <c r="AO8" s="4">
        <v>33993</v>
      </c>
      <c r="AP8" s="4">
        <v>34410</v>
      </c>
      <c r="AQ8" s="4">
        <v>34240</v>
      </c>
      <c r="AR8" s="4">
        <v>31843</v>
      </c>
      <c r="AS8" s="4">
        <v>31299</v>
      </c>
      <c r="AT8" s="4">
        <v>30924</v>
      </c>
      <c r="AU8" s="4">
        <v>31106</v>
      </c>
      <c r="AV8" s="4">
        <v>29645</v>
      </c>
      <c r="AW8" s="4">
        <v>27928</v>
      </c>
      <c r="AX8" s="4">
        <v>26738</v>
      </c>
      <c r="AY8" s="4">
        <v>27940</v>
      </c>
      <c r="AZ8" s="4">
        <v>28252</v>
      </c>
      <c r="BA8" s="4">
        <v>30069</v>
      </c>
      <c r="BB8" s="4">
        <v>31733</v>
      </c>
      <c r="BC8" s="4">
        <v>29236</v>
      </c>
      <c r="BD8" s="4">
        <v>29880</v>
      </c>
      <c r="BE8" s="4">
        <v>31863</v>
      </c>
      <c r="BF8" s="4">
        <v>31178</v>
      </c>
      <c r="BG8" s="4">
        <v>30621</v>
      </c>
      <c r="BH8" s="4">
        <v>32635</v>
      </c>
      <c r="BI8" s="4">
        <v>40865</v>
      </c>
      <c r="BJ8" s="4">
        <v>40893</v>
      </c>
    </row>
    <row r="9" spans="1:62" x14ac:dyDescent="0.2">
      <c r="C9" s="3" t="s">
        <v>68</v>
      </c>
      <c r="D9" s="4">
        <v>1516</v>
      </c>
      <c r="E9" s="4">
        <v>1580</v>
      </c>
      <c r="F9" s="4">
        <v>1651</v>
      </c>
      <c r="G9" s="4">
        <v>1889</v>
      </c>
      <c r="H9" s="4">
        <v>1925</v>
      </c>
      <c r="I9" s="4">
        <v>1938</v>
      </c>
      <c r="J9" s="4">
        <v>2177</v>
      </c>
      <c r="K9" s="4">
        <v>2377</v>
      </c>
      <c r="L9" s="4">
        <v>2456</v>
      </c>
      <c r="M9" s="4">
        <v>2779</v>
      </c>
      <c r="N9" s="4">
        <v>3238</v>
      </c>
      <c r="O9" s="4">
        <v>3240</v>
      </c>
      <c r="P9" s="4">
        <v>3207</v>
      </c>
      <c r="Q9" s="4">
        <v>3611</v>
      </c>
      <c r="R9" s="4">
        <v>3903</v>
      </c>
      <c r="S9" s="4">
        <v>4221</v>
      </c>
      <c r="T9" s="4">
        <v>4794</v>
      </c>
      <c r="U9" s="4">
        <v>5180</v>
      </c>
      <c r="V9" s="4">
        <v>5673</v>
      </c>
      <c r="W9" s="4">
        <v>6117</v>
      </c>
      <c r="X9" s="4">
        <v>6316</v>
      </c>
      <c r="Y9" s="4">
        <v>6243</v>
      </c>
      <c r="Z9" s="4">
        <v>6163</v>
      </c>
      <c r="AA9" s="4">
        <v>5862</v>
      </c>
      <c r="AB9" s="4">
        <v>5916</v>
      </c>
      <c r="AC9" s="4">
        <v>6120</v>
      </c>
      <c r="AD9" s="4">
        <v>6281</v>
      </c>
      <c r="AE9" s="4">
        <v>5642</v>
      </c>
      <c r="AF9" s="4">
        <v>5524</v>
      </c>
      <c r="AG9" s="4">
        <v>5411</v>
      </c>
      <c r="AH9" s="4">
        <v>5192</v>
      </c>
      <c r="AI9" s="4">
        <v>5056</v>
      </c>
      <c r="AJ9" s="4">
        <v>5121</v>
      </c>
      <c r="AK9" s="4">
        <v>5209</v>
      </c>
      <c r="AL9" s="4">
        <v>5106</v>
      </c>
      <c r="AM9" s="4">
        <v>4594</v>
      </c>
      <c r="AN9" s="4">
        <v>4363</v>
      </c>
      <c r="AO9" s="4">
        <v>4099</v>
      </c>
      <c r="AP9" s="4">
        <v>3819</v>
      </c>
      <c r="AQ9" s="4">
        <v>3245</v>
      </c>
      <c r="AR9" s="4">
        <v>3446</v>
      </c>
      <c r="AS9" s="4">
        <v>3335</v>
      </c>
      <c r="AT9" s="4">
        <v>3182</v>
      </c>
      <c r="AU9" s="4">
        <v>2650</v>
      </c>
      <c r="AV9" s="4">
        <v>2434</v>
      </c>
      <c r="AW9" s="4">
        <v>2508</v>
      </c>
      <c r="AX9" s="4">
        <v>2268</v>
      </c>
      <c r="AY9" s="4">
        <v>2693</v>
      </c>
      <c r="AZ9" s="4">
        <v>2790</v>
      </c>
      <c r="BA9" s="4">
        <v>2980</v>
      </c>
      <c r="BB9" s="4">
        <v>2886</v>
      </c>
      <c r="BC9" s="4">
        <v>3100</v>
      </c>
      <c r="BD9" s="4">
        <v>3594</v>
      </c>
      <c r="BE9" s="4">
        <v>3517</v>
      </c>
      <c r="BF9" s="4">
        <v>3357</v>
      </c>
      <c r="BG9" s="4">
        <v>3412</v>
      </c>
      <c r="BH9" s="4">
        <v>3467</v>
      </c>
      <c r="BI9" s="4">
        <v>3396</v>
      </c>
      <c r="BJ9" s="4">
        <v>3478</v>
      </c>
    </row>
    <row r="10" spans="1:62" x14ac:dyDescent="0.2">
      <c r="C10" s="3" t="s">
        <v>69</v>
      </c>
      <c r="D10" s="4">
        <v>1364</v>
      </c>
      <c r="E10" s="4">
        <v>1444</v>
      </c>
      <c r="F10" s="4">
        <v>1612</v>
      </c>
      <c r="G10" s="4">
        <v>1843</v>
      </c>
      <c r="H10" s="4">
        <v>2098</v>
      </c>
      <c r="I10" s="4">
        <v>2215</v>
      </c>
      <c r="J10" s="4">
        <v>2427</v>
      </c>
      <c r="K10" s="4">
        <v>2799</v>
      </c>
      <c r="L10" s="4">
        <v>3217</v>
      </c>
      <c r="M10" s="4">
        <v>3329</v>
      </c>
      <c r="N10" s="4">
        <v>3899</v>
      </c>
      <c r="O10" s="4">
        <v>4227</v>
      </c>
      <c r="P10" s="4">
        <v>4617</v>
      </c>
      <c r="Q10" s="4">
        <v>5229</v>
      </c>
      <c r="R10" s="4">
        <v>5655</v>
      </c>
      <c r="S10" s="4">
        <v>6174</v>
      </c>
      <c r="T10" s="4">
        <v>6606</v>
      </c>
      <c r="U10" s="4">
        <v>7401</v>
      </c>
      <c r="V10" s="4">
        <v>8880</v>
      </c>
      <c r="W10" s="4">
        <v>9254</v>
      </c>
      <c r="X10" s="4">
        <v>10630</v>
      </c>
      <c r="Y10" s="4">
        <v>11171</v>
      </c>
      <c r="Z10" s="4">
        <v>10870</v>
      </c>
      <c r="AA10" s="4">
        <v>11905</v>
      </c>
      <c r="AB10" s="4">
        <v>11480</v>
      </c>
      <c r="AC10" s="4">
        <v>12254</v>
      </c>
      <c r="AD10" s="4">
        <v>12496</v>
      </c>
      <c r="AE10" s="4">
        <v>12421</v>
      </c>
      <c r="AF10" s="4">
        <v>13380</v>
      </c>
      <c r="AG10" s="4">
        <v>13669</v>
      </c>
      <c r="AH10" s="4">
        <v>14091</v>
      </c>
      <c r="AI10" s="4">
        <v>15648</v>
      </c>
      <c r="AJ10" s="4">
        <v>16318</v>
      </c>
      <c r="AK10" s="4">
        <v>16028</v>
      </c>
      <c r="AL10" s="4">
        <v>16392</v>
      </c>
      <c r="AM10" s="4">
        <v>15480</v>
      </c>
      <c r="AN10" s="4">
        <v>15185</v>
      </c>
      <c r="AO10" s="4">
        <v>15131</v>
      </c>
      <c r="AP10" s="4">
        <v>14953</v>
      </c>
      <c r="AQ10" s="4">
        <v>14421</v>
      </c>
      <c r="AR10" s="4">
        <v>14567</v>
      </c>
      <c r="AS10" s="4">
        <v>14442</v>
      </c>
      <c r="AT10" s="4">
        <v>14200</v>
      </c>
      <c r="AU10" s="4">
        <v>11538</v>
      </c>
      <c r="AV10" s="4">
        <v>10755</v>
      </c>
      <c r="AW10" s="4">
        <v>10945</v>
      </c>
      <c r="AX10" s="4">
        <v>10229</v>
      </c>
      <c r="AY10" s="4">
        <v>9906</v>
      </c>
      <c r="AZ10" s="4">
        <v>10664</v>
      </c>
      <c r="BA10" s="4">
        <v>10362</v>
      </c>
      <c r="BB10" s="4">
        <v>9813</v>
      </c>
      <c r="BC10" s="4">
        <v>10604</v>
      </c>
      <c r="BD10" s="4">
        <v>10106</v>
      </c>
      <c r="BE10" s="4">
        <v>10646</v>
      </c>
      <c r="BF10" s="4">
        <v>10852</v>
      </c>
      <c r="BG10" s="4">
        <v>10435</v>
      </c>
      <c r="BH10" s="4">
        <v>11208</v>
      </c>
      <c r="BI10" s="4">
        <v>11369</v>
      </c>
      <c r="BJ10" s="4">
        <v>11125</v>
      </c>
    </row>
    <row r="11" spans="1:62" x14ac:dyDescent="0.2">
      <c r="C11" s="3" t="s">
        <v>70</v>
      </c>
      <c r="D11" s="4">
        <v>55</v>
      </c>
      <c r="E11" s="4">
        <v>135</v>
      </c>
      <c r="F11" s="4">
        <v>125</v>
      </c>
      <c r="G11" s="4">
        <v>190</v>
      </c>
      <c r="H11" s="4">
        <v>142</v>
      </c>
      <c r="I11" s="4">
        <v>225</v>
      </c>
      <c r="J11" s="4">
        <v>235</v>
      </c>
      <c r="K11" s="4">
        <v>164</v>
      </c>
      <c r="L11" s="4">
        <v>403</v>
      </c>
      <c r="M11" s="4">
        <v>354</v>
      </c>
      <c r="N11" s="4">
        <v>280</v>
      </c>
      <c r="O11" s="4">
        <v>351</v>
      </c>
      <c r="P11" s="4">
        <v>463</v>
      </c>
      <c r="Q11" s="4">
        <v>811</v>
      </c>
      <c r="R11" s="4">
        <v>100</v>
      </c>
      <c r="S11" s="4">
        <v>667</v>
      </c>
      <c r="T11" s="4">
        <v>197</v>
      </c>
      <c r="U11" s="4">
        <v>281</v>
      </c>
      <c r="V11" s="4">
        <v>490</v>
      </c>
      <c r="W11" s="4">
        <v>555</v>
      </c>
      <c r="X11" s="4">
        <v>803</v>
      </c>
      <c r="Y11" s="4">
        <v>479</v>
      </c>
      <c r="Z11" s="4">
        <v>515</v>
      </c>
      <c r="AA11" s="4">
        <v>1262</v>
      </c>
      <c r="AB11" s="4">
        <v>1254</v>
      </c>
      <c r="AC11" s="4">
        <v>467</v>
      </c>
      <c r="AD11" s="4">
        <v>575</v>
      </c>
      <c r="AE11" s="4">
        <v>301</v>
      </c>
      <c r="AF11" s="4">
        <v>200</v>
      </c>
      <c r="AG11" s="4">
        <v>1116</v>
      </c>
      <c r="AH11" s="4">
        <v>686</v>
      </c>
      <c r="AI11" s="4">
        <v>1005</v>
      </c>
      <c r="AJ11" s="4">
        <v>1149</v>
      </c>
      <c r="AK11" s="4">
        <v>987</v>
      </c>
      <c r="AL11" s="4">
        <v>423</v>
      </c>
      <c r="AM11" s="4">
        <v>735</v>
      </c>
      <c r="AN11" s="4">
        <v>1059</v>
      </c>
      <c r="AO11" s="4">
        <v>398</v>
      </c>
      <c r="AP11" s="4">
        <v>1117</v>
      </c>
      <c r="AQ11" s="4">
        <v>585</v>
      </c>
      <c r="AR11" s="4">
        <v>1463</v>
      </c>
      <c r="AS11" s="4">
        <v>1256</v>
      </c>
      <c r="AT11" s="4">
        <v>2484</v>
      </c>
      <c r="AU11" s="4">
        <v>1369</v>
      </c>
      <c r="AV11" s="4">
        <v>-1353</v>
      </c>
      <c r="AW11" s="4">
        <v>-2937</v>
      </c>
      <c r="AX11" s="4">
        <v>-4560</v>
      </c>
      <c r="AY11" s="4">
        <v>309</v>
      </c>
      <c r="AZ11" s="4">
        <v>-834</v>
      </c>
      <c r="BA11" s="4">
        <v>4417</v>
      </c>
      <c r="BB11" s="4">
        <v>2583</v>
      </c>
      <c r="BC11" s="4">
        <v>2515</v>
      </c>
      <c r="BD11" s="4">
        <v>553</v>
      </c>
      <c r="BE11" s="4">
        <v>1209</v>
      </c>
      <c r="BF11" s="4">
        <v>690</v>
      </c>
      <c r="BG11" s="4">
        <v>907</v>
      </c>
      <c r="BH11" s="4">
        <v>5638</v>
      </c>
      <c r="BI11" s="4">
        <v>6737</v>
      </c>
      <c r="BJ11" s="4">
        <v>3849</v>
      </c>
    </row>
    <row r="12" spans="1:62" x14ac:dyDescent="0.2">
      <c r="C12" s="3" t="s">
        <v>71</v>
      </c>
      <c r="D12" s="4">
        <v>679</v>
      </c>
      <c r="E12" s="4">
        <v>884</v>
      </c>
      <c r="F12" s="4">
        <v>1125</v>
      </c>
      <c r="G12" s="4">
        <v>1298</v>
      </c>
      <c r="H12" s="4">
        <v>1190</v>
      </c>
      <c r="I12" s="4">
        <v>1191</v>
      </c>
      <c r="J12" s="4">
        <v>1179</v>
      </c>
      <c r="K12" s="4">
        <v>1446</v>
      </c>
      <c r="L12" s="4">
        <v>1592</v>
      </c>
      <c r="M12" s="4">
        <v>1884</v>
      </c>
      <c r="N12" s="4">
        <v>2131</v>
      </c>
      <c r="O12" s="4">
        <v>2159</v>
      </c>
      <c r="P12" s="4">
        <v>2387</v>
      </c>
      <c r="Q12" s="4">
        <v>2700</v>
      </c>
      <c r="R12" s="4">
        <v>3053</v>
      </c>
      <c r="S12" s="4">
        <v>3518</v>
      </c>
      <c r="T12" s="4">
        <v>4031</v>
      </c>
      <c r="U12" s="4">
        <v>4711</v>
      </c>
      <c r="V12" s="4">
        <v>5255</v>
      </c>
      <c r="W12" s="4">
        <v>5618</v>
      </c>
      <c r="X12" s="4">
        <v>5551</v>
      </c>
      <c r="Y12" s="4">
        <v>5872</v>
      </c>
      <c r="Z12" s="4">
        <v>6330</v>
      </c>
      <c r="AA12" s="4">
        <v>6685</v>
      </c>
      <c r="AB12" s="4">
        <v>6848</v>
      </c>
      <c r="AC12" s="4">
        <v>6953</v>
      </c>
      <c r="AD12" s="4">
        <v>7435</v>
      </c>
      <c r="AE12" s="4">
        <v>6920</v>
      </c>
      <c r="AF12" s="4">
        <v>7623</v>
      </c>
      <c r="AG12" s="4">
        <v>8612</v>
      </c>
      <c r="AH12" s="4">
        <v>9288</v>
      </c>
      <c r="AI12" s="4">
        <v>9782</v>
      </c>
      <c r="AJ12" s="4">
        <v>9399</v>
      </c>
      <c r="AK12" s="4">
        <v>9368</v>
      </c>
      <c r="AL12" s="4">
        <v>9238</v>
      </c>
      <c r="AM12" s="4">
        <v>9399</v>
      </c>
      <c r="AN12" s="4">
        <v>8719</v>
      </c>
      <c r="AO12" s="4">
        <v>9119</v>
      </c>
      <c r="AP12" s="4">
        <v>9074</v>
      </c>
      <c r="AQ12" s="4">
        <v>9519</v>
      </c>
      <c r="AR12" s="4">
        <v>9362</v>
      </c>
      <c r="AS12" s="4">
        <v>9048</v>
      </c>
      <c r="AT12" s="4">
        <v>10315</v>
      </c>
      <c r="AU12" s="4">
        <v>11095</v>
      </c>
      <c r="AV12" s="4">
        <v>12087</v>
      </c>
      <c r="AW12" s="4">
        <v>11732</v>
      </c>
      <c r="AX12" s="4">
        <v>14492</v>
      </c>
      <c r="AY12" s="4">
        <v>14076</v>
      </c>
      <c r="AZ12" s="4">
        <v>15723</v>
      </c>
      <c r="BA12" s="4">
        <v>18022</v>
      </c>
      <c r="BB12" s="4">
        <v>18967</v>
      </c>
      <c r="BC12" s="4">
        <v>19732</v>
      </c>
      <c r="BD12" s="4">
        <v>19379</v>
      </c>
      <c r="BE12" s="4">
        <v>21244</v>
      </c>
      <c r="BF12" s="4">
        <v>22305</v>
      </c>
      <c r="BG12" s="4">
        <v>24315</v>
      </c>
      <c r="BH12" s="4">
        <v>24750</v>
      </c>
      <c r="BI12" s="4">
        <v>26149</v>
      </c>
      <c r="BJ12" s="4">
        <v>26709</v>
      </c>
    </row>
    <row r="13" spans="1:62" x14ac:dyDescent="0.2">
      <c r="C13" s="3" t="s">
        <v>72</v>
      </c>
      <c r="D13" s="4">
        <v>205</v>
      </c>
      <c r="E13" s="4">
        <v>171</v>
      </c>
      <c r="F13" s="4">
        <v>222</v>
      </c>
      <c r="G13" s="4">
        <v>242</v>
      </c>
      <c r="H13" s="4">
        <v>264</v>
      </c>
      <c r="I13" s="4">
        <v>304</v>
      </c>
      <c r="J13" s="4">
        <v>488</v>
      </c>
      <c r="K13" s="4">
        <v>538</v>
      </c>
      <c r="L13" s="4">
        <v>591</v>
      </c>
      <c r="M13" s="4">
        <v>675</v>
      </c>
      <c r="N13" s="4">
        <v>733</v>
      </c>
      <c r="O13" s="4">
        <v>817</v>
      </c>
      <c r="P13" s="4">
        <v>951</v>
      </c>
      <c r="Q13" s="4">
        <v>1083</v>
      </c>
      <c r="R13" s="4">
        <v>1334</v>
      </c>
      <c r="S13" s="4">
        <v>1537</v>
      </c>
      <c r="T13" s="4">
        <v>1910</v>
      </c>
      <c r="U13" s="4">
        <v>2506</v>
      </c>
      <c r="V13" s="4">
        <v>2499</v>
      </c>
      <c r="W13" s="4">
        <v>3141</v>
      </c>
      <c r="X13" s="4">
        <v>3572</v>
      </c>
      <c r="Y13" s="4">
        <v>3955</v>
      </c>
      <c r="Z13" s="4">
        <v>4420</v>
      </c>
      <c r="AA13" s="4">
        <v>4694</v>
      </c>
      <c r="AB13" s="4">
        <v>5316</v>
      </c>
      <c r="AC13" s="4">
        <v>6100</v>
      </c>
      <c r="AD13" s="4">
        <v>6928</v>
      </c>
      <c r="AE13" s="4">
        <v>6161</v>
      </c>
      <c r="AF13" s="4">
        <v>8016</v>
      </c>
      <c r="AG13" s="4">
        <v>8561</v>
      </c>
      <c r="AH13" s="4">
        <v>8391</v>
      </c>
      <c r="AI13" s="4">
        <v>11096</v>
      </c>
      <c r="AJ13" s="4">
        <v>12562</v>
      </c>
      <c r="AK13" s="4">
        <v>14697</v>
      </c>
      <c r="AL13" s="4">
        <v>17213</v>
      </c>
      <c r="AM13" s="4">
        <v>19755</v>
      </c>
      <c r="AN13" s="4">
        <v>17914</v>
      </c>
      <c r="AO13" s="4">
        <v>20948</v>
      </c>
      <c r="AP13" s="4">
        <v>20984</v>
      </c>
      <c r="AQ13" s="4">
        <v>22260</v>
      </c>
      <c r="AR13" s="4">
        <v>21533</v>
      </c>
      <c r="AS13" s="4">
        <v>20487</v>
      </c>
      <c r="AT13" s="4">
        <v>23026</v>
      </c>
      <c r="AU13" s="4">
        <v>25763</v>
      </c>
      <c r="AV13" s="4">
        <v>34275</v>
      </c>
      <c r="AW13" s="4">
        <v>36773</v>
      </c>
      <c r="AX13" s="4">
        <v>44666</v>
      </c>
      <c r="AY13" s="4">
        <v>48758</v>
      </c>
      <c r="AZ13" s="4">
        <v>50769</v>
      </c>
      <c r="BA13" s="4">
        <v>60233</v>
      </c>
      <c r="BB13" s="4">
        <v>66564</v>
      </c>
      <c r="BC13" s="4">
        <v>73390</v>
      </c>
      <c r="BD13" s="4">
        <v>83676</v>
      </c>
      <c r="BE13" s="4">
        <v>85534</v>
      </c>
      <c r="BF13" s="4">
        <v>89925</v>
      </c>
      <c r="BG13" s="4">
        <v>90741</v>
      </c>
      <c r="BH13" s="4">
        <v>122280</v>
      </c>
      <c r="BI13" s="4">
        <v>183211</v>
      </c>
      <c r="BJ13" s="4">
        <v>241532</v>
      </c>
    </row>
    <row r="14" spans="1:62" x14ac:dyDescent="0.2">
      <c r="C14" s="3" t="s">
        <v>73</v>
      </c>
      <c r="D14" s="4">
        <v>1414</v>
      </c>
      <c r="E14" s="4">
        <v>1580</v>
      </c>
      <c r="F14" s="4">
        <v>1789</v>
      </c>
      <c r="G14" s="4">
        <v>2130</v>
      </c>
      <c r="H14" s="4">
        <v>2404</v>
      </c>
      <c r="I14" s="4">
        <v>2570</v>
      </c>
      <c r="J14" s="4">
        <v>3057</v>
      </c>
      <c r="K14" s="4">
        <v>3416</v>
      </c>
      <c r="L14" s="4">
        <v>3359</v>
      </c>
      <c r="M14" s="4">
        <v>3820</v>
      </c>
      <c r="N14" s="4">
        <v>4404</v>
      </c>
      <c r="O14" s="4">
        <v>5003</v>
      </c>
      <c r="P14" s="4">
        <v>5521</v>
      </c>
      <c r="Q14" s="4">
        <v>5837</v>
      </c>
      <c r="R14" s="4">
        <v>5955</v>
      </c>
      <c r="S14" s="4">
        <v>5879</v>
      </c>
      <c r="T14" s="4">
        <v>6673</v>
      </c>
      <c r="U14" s="4">
        <v>7395</v>
      </c>
      <c r="V14" s="4">
        <v>8420</v>
      </c>
      <c r="W14" s="4">
        <v>9440</v>
      </c>
      <c r="X14" s="4">
        <v>11278</v>
      </c>
      <c r="Y14" s="4">
        <v>11629</v>
      </c>
      <c r="Z14" s="4">
        <v>11105</v>
      </c>
      <c r="AA14" s="4">
        <v>12063</v>
      </c>
      <c r="AB14" s="4">
        <v>12439</v>
      </c>
      <c r="AC14" s="4">
        <v>11800</v>
      </c>
      <c r="AD14" s="4">
        <v>12401</v>
      </c>
      <c r="AE14" s="4">
        <v>11783</v>
      </c>
      <c r="AF14" s="4">
        <v>13222</v>
      </c>
      <c r="AG14" s="4">
        <v>13985</v>
      </c>
      <c r="AH14" s="4">
        <v>15044</v>
      </c>
      <c r="AI14" s="4">
        <v>16301</v>
      </c>
      <c r="AJ14" s="4">
        <v>16715</v>
      </c>
      <c r="AK14" s="4">
        <v>18186</v>
      </c>
      <c r="AL14" s="4">
        <v>18436</v>
      </c>
      <c r="AM14" s="4">
        <v>16711</v>
      </c>
      <c r="AN14" s="4">
        <v>17775</v>
      </c>
      <c r="AO14" s="4">
        <v>17537</v>
      </c>
      <c r="AP14" s="4">
        <v>17577</v>
      </c>
      <c r="AQ14" s="4">
        <v>18147</v>
      </c>
      <c r="AR14" s="4">
        <v>20115</v>
      </c>
      <c r="AS14" s="4">
        <v>21738</v>
      </c>
      <c r="AT14" s="4">
        <v>19431</v>
      </c>
      <c r="AU14" s="4">
        <v>15310</v>
      </c>
      <c r="AV14" s="4">
        <v>14039</v>
      </c>
      <c r="AW14" s="4">
        <v>13757</v>
      </c>
      <c r="AX14" s="4">
        <v>14566</v>
      </c>
      <c r="AY14" s="4">
        <v>14378</v>
      </c>
      <c r="AZ14" s="4">
        <v>17269</v>
      </c>
      <c r="BA14" s="4">
        <v>17467</v>
      </c>
      <c r="BB14" s="4">
        <v>18186</v>
      </c>
      <c r="BC14" s="4">
        <v>19191</v>
      </c>
      <c r="BD14" s="4">
        <v>18900</v>
      </c>
      <c r="BE14" s="4">
        <v>19702</v>
      </c>
      <c r="BF14" s="4">
        <v>19917</v>
      </c>
      <c r="BG14" s="4">
        <v>19449</v>
      </c>
      <c r="BH14" s="4">
        <v>19786</v>
      </c>
      <c r="BI14" s="4">
        <v>21533</v>
      </c>
      <c r="BJ14" s="4">
        <v>21519</v>
      </c>
    </row>
    <row r="15" spans="1:62" x14ac:dyDescent="0.2">
      <c r="C15" s="3" t="s">
        <v>74</v>
      </c>
      <c r="D15" s="4">
        <v>1166</v>
      </c>
      <c r="E15" s="4">
        <v>1214</v>
      </c>
      <c r="F15" s="4">
        <v>1265</v>
      </c>
      <c r="G15" s="4">
        <v>1450</v>
      </c>
      <c r="H15" s="4">
        <v>1719</v>
      </c>
      <c r="I15" s="4">
        <v>1791</v>
      </c>
      <c r="J15" s="4">
        <v>1988</v>
      </c>
      <c r="K15" s="4">
        <v>2294</v>
      </c>
      <c r="L15" s="4">
        <v>2816</v>
      </c>
      <c r="M15" s="4">
        <v>2946</v>
      </c>
      <c r="N15" s="4">
        <v>3148</v>
      </c>
      <c r="O15" s="4">
        <v>3534</v>
      </c>
      <c r="P15" s="4">
        <v>3735</v>
      </c>
      <c r="Q15" s="4">
        <v>4472</v>
      </c>
      <c r="R15" s="4">
        <v>5138</v>
      </c>
      <c r="S15" s="4">
        <v>4773</v>
      </c>
      <c r="T15" s="4">
        <v>5758</v>
      </c>
      <c r="U15" s="4">
        <v>6647</v>
      </c>
      <c r="V15" s="4">
        <v>8007</v>
      </c>
      <c r="W15" s="4">
        <v>9085</v>
      </c>
      <c r="X15" s="4">
        <v>9641</v>
      </c>
      <c r="Y15" s="4">
        <v>9866</v>
      </c>
      <c r="Z15" s="4">
        <v>10510</v>
      </c>
      <c r="AA15" s="4">
        <v>11532</v>
      </c>
      <c r="AB15" s="4">
        <v>12440</v>
      </c>
      <c r="AC15" s="4">
        <v>12976</v>
      </c>
      <c r="AD15" s="4">
        <v>13509</v>
      </c>
      <c r="AE15" s="4">
        <v>14398</v>
      </c>
      <c r="AF15" s="4">
        <v>15438</v>
      </c>
      <c r="AG15" s="4">
        <v>15855</v>
      </c>
      <c r="AH15" s="4">
        <v>15972</v>
      </c>
      <c r="AI15" s="4">
        <v>17160</v>
      </c>
      <c r="AJ15" s="4">
        <v>18106</v>
      </c>
      <c r="AK15" s="4">
        <v>18075</v>
      </c>
      <c r="AL15" s="4">
        <v>19071</v>
      </c>
      <c r="AM15" s="4">
        <v>19708</v>
      </c>
      <c r="AN15" s="4">
        <v>19934</v>
      </c>
      <c r="AO15" s="4">
        <v>18953</v>
      </c>
      <c r="AP15" s="4">
        <v>19433</v>
      </c>
      <c r="AQ15" s="4">
        <v>19088</v>
      </c>
      <c r="AR15" s="4">
        <v>21015</v>
      </c>
      <c r="AS15" s="4">
        <v>21548</v>
      </c>
      <c r="AT15" s="4">
        <v>22901</v>
      </c>
      <c r="AU15" s="4">
        <v>18698</v>
      </c>
      <c r="AV15" s="4">
        <v>17112</v>
      </c>
      <c r="AW15" s="4">
        <v>16266</v>
      </c>
      <c r="AX15" s="4">
        <v>17536</v>
      </c>
      <c r="AY15" s="4">
        <v>19719</v>
      </c>
      <c r="AZ15" s="4">
        <v>20689</v>
      </c>
      <c r="BA15" s="4">
        <v>20706</v>
      </c>
      <c r="BB15" s="4">
        <v>21786</v>
      </c>
      <c r="BC15" s="4">
        <v>22388</v>
      </c>
      <c r="BD15" s="4">
        <v>21420</v>
      </c>
      <c r="BE15" s="4">
        <v>23169</v>
      </c>
      <c r="BF15" s="4">
        <v>22488</v>
      </c>
      <c r="BG15" s="4">
        <v>22392</v>
      </c>
      <c r="BH15" s="4">
        <v>26785</v>
      </c>
      <c r="BI15" s="4">
        <v>29693</v>
      </c>
      <c r="BJ15" s="4">
        <v>28124</v>
      </c>
    </row>
    <row r="16" spans="1:62" x14ac:dyDescent="0.2">
      <c r="C16" s="3" t="s">
        <v>75</v>
      </c>
      <c r="D16" s="4">
        <v>528</v>
      </c>
      <c r="E16" s="4">
        <v>524</v>
      </c>
      <c r="F16" s="4">
        <v>640</v>
      </c>
      <c r="G16" s="4">
        <v>692</v>
      </c>
      <c r="H16" s="4">
        <v>842</v>
      </c>
      <c r="I16" s="4">
        <v>894</v>
      </c>
      <c r="J16" s="4">
        <v>1006</v>
      </c>
      <c r="K16" s="4">
        <v>1234</v>
      </c>
      <c r="L16" s="4">
        <v>1639</v>
      </c>
      <c r="M16" s="4">
        <v>1793</v>
      </c>
      <c r="N16" s="4">
        <v>2089</v>
      </c>
      <c r="O16" s="4">
        <v>2408</v>
      </c>
      <c r="P16" s="4">
        <v>2624</v>
      </c>
      <c r="Q16" s="4">
        <v>2837</v>
      </c>
      <c r="R16" s="4">
        <v>3310</v>
      </c>
      <c r="S16" s="4">
        <v>3485</v>
      </c>
      <c r="T16" s="4">
        <v>3949</v>
      </c>
      <c r="U16" s="4">
        <v>4645</v>
      </c>
      <c r="V16" s="4">
        <v>5501</v>
      </c>
      <c r="W16" s="4">
        <v>6184</v>
      </c>
      <c r="X16" s="4">
        <v>6481</v>
      </c>
      <c r="Y16" s="4">
        <v>6567</v>
      </c>
      <c r="Z16" s="4">
        <v>6644</v>
      </c>
      <c r="AA16" s="4">
        <v>7270</v>
      </c>
      <c r="AB16" s="4">
        <v>7643</v>
      </c>
      <c r="AC16" s="4">
        <v>7750</v>
      </c>
      <c r="AD16" s="4">
        <v>7981</v>
      </c>
      <c r="AE16" s="4">
        <v>7615</v>
      </c>
      <c r="AF16" s="4">
        <v>8734</v>
      </c>
      <c r="AG16" s="4">
        <v>8946</v>
      </c>
      <c r="AH16" s="4">
        <v>9732</v>
      </c>
      <c r="AI16" s="4">
        <v>10396</v>
      </c>
      <c r="AJ16" s="4">
        <v>11327</v>
      </c>
      <c r="AK16" s="4">
        <v>12988</v>
      </c>
      <c r="AL16" s="4">
        <v>13537</v>
      </c>
      <c r="AM16" s="4">
        <v>14263</v>
      </c>
      <c r="AN16" s="4">
        <v>14365</v>
      </c>
      <c r="AO16" s="4">
        <v>15016</v>
      </c>
      <c r="AP16" s="4">
        <v>14233</v>
      </c>
      <c r="AQ16" s="4">
        <v>13959</v>
      </c>
      <c r="AR16" s="4">
        <v>15736</v>
      </c>
      <c r="AS16" s="4">
        <v>16939</v>
      </c>
      <c r="AT16" s="4">
        <v>14391</v>
      </c>
      <c r="AU16" s="4">
        <v>13415</v>
      </c>
      <c r="AV16" s="4">
        <v>14803</v>
      </c>
      <c r="AW16" s="4">
        <v>15273</v>
      </c>
      <c r="AX16" s="4">
        <v>15554</v>
      </c>
      <c r="AY16" s="4">
        <v>15849</v>
      </c>
      <c r="AZ16" s="4">
        <v>15348</v>
      </c>
      <c r="BA16" s="4">
        <v>15849</v>
      </c>
      <c r="BB16" s="4">
        <v>16577</v>
      </c>
      <c r="BC16" s="4">
        <v>19117</v>
      </c>
      <c r="BD16" s="4">
        <v>18706</v>
      </c>
      <c r="BE16" s="4">
        <v>19403</v>
      </c>
      <c r="BF16" s="4">
        <v>17140</v>
      </c>
      <c r="BG16" s="4">
        <v>20521</v>
      </c>
      <c r="BH16" s="4">
        <v>22867</v>
      </c>
      <c r="BI16" s="4">
        <v>26899</v>
      </c>
      <c r="BJ16" s="4">
        <v>26050</v>
      </c>
    </row>
    <row r="17" spans="3:62" x14ac:dyDescent="0.2">
      <c r="C17" s="3" t="s">
        <v>76</v>
      </c>
      <c r="D17" s="4">
        <v>590</v>
      </c>
      <c r="E17" s="4">
        <v>569</v>
      </c>
      <c r="F17" s="4">
        <v>642</v>
      </c>
      <c r="G17" s="4">
        <v>723</v>
      </c>
      <c r="H17" s="4">
        <v>812</v>
      </c>
      <c r="I17" s="4">
        <v>871</v>
      </c>
      <c r="J17" s="4">
        <v>939</v>
      </c>
      <c r="K17" s="4">
        <v>1096</v>
      </c>
      <c r="L17" s="4">
        <v>1234</v>
      </c>
      <c r="M17" s="4">
        <v>1358</v>
      </c>
      <c r="N17" s="4">
        <v>1533</v>
      </c>
      <c r="O17" s="4">
        <v>1665</v>
      </c>
      <c r="P17" s="4">
        <v>1800</v>
      </c>
      <c r="Q17" s="4">
        <v>1951</v>
      </c>
      <c r="R17" s="4">
        <v>2135</v>
      </c>
      <c r="S17" s="4">
        <v>2257</v>
      </c>
      <c r="T17" s="4">
        <v>2553</v>
      </c>
      <c r="U17" s="4">
        <v>2918</v>
      </c>
      <c r="V17" s="4">
        <v>3458</v>
      </c>
      <c r="W17" s="4">
        <v>3883</v>
      </c>
      <c r="X17" s="4">
        <v>4089</v>
      </c>
      <c r="Y17" s="4">
        <v>4226</v>
      </c>
      <c r="Z17" s="4">
        <v>4424</v>
      </c>
      <c r="AA17" s="4">
        <v>4613</v>
      </c>
      <c r="AB17" s="4">
        <v>4636</v>
      </c>
      <c r="AC17" s="4">
        <v>4724</v>
      </c>
      <c r="AD17" s="4">
        <v>4990</v>
      </c>
      <c r="AE17" s="4">
        <v>5206</v>
      </c>
      <c r="AF17" s="4">
        <v>6083</v>
      </c>
      <c r="AG17" s="4">
        <v>5834</v>
      </c>
      <c r="AH17" s="4">
        <v>6070</v>
      </c>
      <c r="AI17" s="4">
        <v>5999</v>
      </c>
      <c r="AJ17" s="4">
        <v>6452</v>
      </c>
      <c r="AK17" s="4">
        <v>6036</v>
      </c>
      <c r="AL17" s="4">
        <v>6789</v>
      </c>
      <c r="AM17" s="4">
        <v>6804</v>
      </c>
      <c r="AN17" s="4">
        <v>6319</v>
      </c>
      <c r="AO17" s="4">
        <v>5718</v>
      </c>
      <c r="AP17" s="4">
        <v>6207</v>
      </c>
      <c r="AQ17" s="4">
        <v>5566</v>
      </c>
      <c r="AR17" s="4">
        <v>6115</v>
      </c>
      <c r="AS17" s="4">
        <v>6731</v>
      </c>
      <c r="AT17" s="4">
        <v>8143</v>
      </c>
      <c r="AU17" s="4">
        <v>6106</v>
      </c>
      <c r="AV17" s="4">
        <v>6710</v>
      </c>
      <c r="AW17" s="4">
        <v>6996</v>
      </c>
      <c r="AX17" s="4">
        <v>6698</v>
      </c>
      <c r="AY17" s="4">
        <v>6098</v>
      </c>
      <c r="AZ17" s="4">
        <v>6591</v>
      </c>
      <c r="BA17" s="4">
        <v>7595</v>
      </c>
      <c r="BB17" s="4">
        <v>7718</v>
      </c>
      <c r="BC17" s="4">
        <v>7308</v>
      </c>
      <c r="BD17" s="4">
        <v>7936</v>
      </c>
      <c r="BE17" s="4">
        <v>8051</v>
      </c>
      <c r="BF17" s="4">
        <v>7193</v>
      </c>
      <c r="BG17" s="4">
        <v>8157</v>
      </c>
      <c r="BH17" s="4">
        <v>8935</v>
      </c>
      <c r="BI17" s="4">
        <v>9095</v>
      </c>
      <c r="BJ17" s="4">
        <v>9448</v>
      </c>
    </row>
    <row r="18" spans="3:62" x14ac:dyDescent="0.2">
      <c r="C18" s="3" t="s">
        <v>77</v>
      </c>
      <c r="D18" s="4">
        <v>1662</v>
      </c>
      <c r="E18" s="4">
        <v>1654</v>
      </c>
      <c r="F18" s="4">
        <v>1953</v>
      </c>
      <c r="G18" s="4">
        <v>2266</v>
      </c>
      <c r="H18" s="4">
        <v>2667</v>
      </c>
      <c r="I18" s="4">
        <v>2813</v>
      </c>
      <c r="J18" s="4">
        <v>3130</v>
      </c>
      <c r="K18" s="4">
        <v>3687</v>
      </c>
      <c r="L18" s="4">
        <v>4460</v>
      </c>
      <c r="M18" s="4">
        <v>4889</v>
      </c>
      <c r="N18" s="4">
        <v>5654</v>
      </c>
      <c r="O18" s="4">
        <v>6206</v>
      </c>
      <c r="P18" s="4">
        <v>6677</v>
      </c>
      <c r="Q18" s="4">
        <v>7561</v>
      </c>
      <c r="R18" s="4">
        <v>8880</v>
      </c>
      <c r="S18" s="4">
        <v>8616</v>
      </c>
      <c r="T18" s="4">
        <v>9849</v>
      </c>
      <c r="U18" s="4">
        <v>11120</v>
      </c>
      <c r="V18" s="4">
        <v>12782</v>
      </c>
      <c r="W18" s="4">
        <v>14350</v>
      </c>
      <c r="X18" s="4">
        <v>14912</v>
      </c>
      <c r="Y18" s="4">
        <v>14860</v>
      </c>
      <c r="Z18" s="4">
        <v>16056</v>
      </c>
      <c r="AA18" s="4">
        <v>17293</v>
      </c>
      <c r="AB18" s="4">
        <v>18271</v>
      </c>
      <c r="AC18" s="4">
        <v>18563</v>
      </c>
      <c r="AD18" s="4">
        <v>18854</v>
      </c>
      <c r="AE18" s="4">
        <v>18012</v>
      </c>
      <c r="AF18" s="4">
        <v>19774</v>
      </c>
      <c r="AG18" s="4">
        <v>23268</v>
      </c>
      <c r="AH18" s="4">
        <v>22907</v>
      </c>
      <c r="AI18" s="4">
        <v>25653</v>
      </c>
      <c r="AJ18" s="4">
        <v>26248</v>
      </c>
      <c r="AK18" s="4">
        <v>25449</v>
      </c>
      <c r="AL18" s="4">
        <v>29048</v>
      </c>
      <c r="AM18" s="4">
        <v>29991</v>
      </c>
      <c r="AN18" s="4">
        <v>33653</v>
      </c>
      <c r="AO18" s="4">
        <v>27913</v>
      </c>
      <c r="AP18" s="4">
        <v>29470</v>
      </c>
      <c r="AQ18" s="4">
        <v>27963</v>
      </c>
      <c r="AR18" s="4">
        <v>34565</v>
      </c>
      <c r="AS18" s="4">
        <v>39306</v>
      </c>
      <c r="AT18" s="4">
        <v>40236</v>
      </c>
      <c r="AU18" s="4">
        <v>34204</v>
      </c>
      <c r="AV18" s="4">
        <v>33431</v>
      </c>
      <c r="AW18" s="4">
        <v>37771</v>
      </c>
      <c r="AX18" s="4">
        <v>37272</v>
      </c>
      <c r="AY18" s="4">
        <v>42173</v>
      </c>
      <c r="AZ18" s="4">
        <v>40846</v>
      </c>
      <c r="BA18" s="4">
        <v>36736</v>
      </c>
      <c r="BB18" s="4">
        <v>43322</v>
      </c>
      <c r="BC18" s="4">
        <v>48302</v>
      </c>
      <c r="BD18" s="4">
        <v>47891</v>
      </c>
      <c r="BE18" s="4">
        <v>54181</v>
      </c>
      <c r="BF18" s="4">
        <v>43080</v>
      </c>
      <c r="BG18" s="4">
        <v>52896</v>
      </c>
      <c r="BH18" s="4">
        <v>45539</v>
      </c>
      <c r="BI18" s="4">
        <v>46865</v>
      </c>
      <c r="BJ18" s="4">
        <v>56252</v>
      </c>
    </row>
    <row r="19" spans="3:62" x14ac:dyDescent="0.2">
      <c r="C19" s="3" t="s">
        <v>78</v>
      </c>
      <c r="D19" s="4">
        <v>800</v>
      </c>
      <c r="E19" s="4">
        <v>829</v>
      </c>
      <c r="F19" s="4">
        <v>930</v>
      </c>
      <c r="G19" s="4">
        <v>1021</v>
      </c>
      <c r="H19" s="4">
        <v>864</v>
      </c>
      <c r="I19" s="4">
        <v>1169</v>
      </c>
      <c r="J19" s="4">
        <v>1386</v>
      </c>
      <c r="K19" s="4">
        <v>1555</v>
      </c>
      <c r="L19" s="4">
        <v>1774</v>
      </c>
      <c r="M19" s="4">
        <v>2336</v>
      </c>
      <c r="N19" s="4">
        <v>2527</v>
      </c>
      <c r="O19" s="4">
        <v>2353</v>
      </c>
      <c r="P19" s="4">
        <v>2345</v>
      </c>
      <c r="Q19" s="4">
        <v>2164</v>
      </c>
      <c r="R19" s="4">
        <v>2555</v>
      </c>
      <c r="S19" s="4">
        <v>3255</v>
      </c>
      <c r="T19" s="4">
        <v>3434</v>
      </c>
      <c r="U19" s="4">
        <v>4447</v>
      </c>
      <c r="V19" s="4">
        <v>5339</v>
      </c>
      <c r="W19" s="4">
        <v>4528</v>
      </c>
      <c r="X19" s="4">
        <v>4073</v>
      </c>
      <c r="Y19" s="4">
        <v>3891</v>
      </c>
      <c r="Z19" s="4">
        <v>4221</v>
      </c>
      <c r="AA19" s="4">
        <v>4041</v>
      </c>
      <c r="AB19" s="4">
        <v>5330</v>
      </c>
      <c r="AC19" s="4">
        <v>4723</v>
      </c>
      <c r="AD19" s="4">
        <v>5602</v>
      </c>
      <c r="AE19" s="4">
        <v>5150</v>
      </c>
      <c r="AF19" s="4">
        <v>5019</v>
      </c>
      <c r="AG19" s="4">
        <v>5978</v>
      </c>
      <c r="AH19" s="4">
        <v>5621</v>
      </c>
      <c r="AI19" s="4">
        <v>5158</v>
      </c>
      <c r="AJ19" s="4">
        <v>5341</v>
      </c>
      <c r="AK19" s="4">
        <v>4908</v>
      </c>
      <c r="AL19" s="4">
        <v>5104</v>
      </c>
      <c r="AM19" s="4">
        <v>5148</v>
      </c>
      <c r="AN19" s="4">
        <v>4999</v>
      </c>
      <c r="AO19" s="4">
        <v>5091</v>
      </c>
      <c r="AP19" s="4">
        <v>4311</v>
      </c>
      <c r="AQ19" s="4">
        <v>4812</v>
      </c>
      <c r="AR19" s="4">
        <v>5011</v>
      </c>
      <c r="AS19" s="4">
        <v>4466</v>
      </c>
      <c r="AT19" s="4">
        <v>5172</v>
      </c>
      <c r="AU19" s="4">
        <v>3428</v>
      </c>
      <c r="AV19" s="4">
        <v>4187</v>
      </c>
      <c r="AW19" s="4">
        <v>4728</v>
      </c>
      <c r="AX19" s="4">
        <v>3848</v>
      </c>
      <c r="AY19" s="4">
        <v>3389</v>
      </c>
      <c r="AZ19" s="4">
        <v>3400</v>
      </c>
      <c r="BA19" s="4">
        <v>4085</v>
      </c>
      <c r="BB19" s="4">
        <v>4548</v>
      </c>
      <c r="BC19" s="4">
        <v>4627</v>
      </c>
      <c r="BD19" s="4">
        <v>4226</v>
      </c>
      <c r="BE19" s="4">
        <v>4403</v>
      </c>
      <c r="BF19" s="4">
        <v>3917</v>
      </c>
      <c r="BG19" s="4">
        <v>4646</v>
      </c>
      <c r="BH19" s="4">
        <v>4417</v>
      </c>
      <c r="BI19" s="4">
        <v>5678</v>
      </c>
      <c r="BJ19" s="4">
        <v>6066</v>
      </c>
    </row>
    <row r="20" spans="3:62" x14ac:dyDescent="0.2">
      <c r="C20" s="3" t="s">
        <v>79</v>
      </c>
      <c r="D20" s="4">
        <v>1359</v>
      </c>
      <c r="E20" s="4">
        <v>1368</v>
      </c>
      <c r="F20" s="4">
        <v>1485</v>
      </c>
      <c r="G20" s="4">
        <v>1593</v>
      </c>
      <c r="H20" s="4">
        <v>1685</v>
      </c>
      <c r="I20" s="4">
        <v>1863</v>
      </c>
      <c r="J20" s="4">
        <v>2208</v>
      </c>
      <c r="K20" s="4">
        <v>2497</v>
      </c>
      <c r="L20" s="4">
        <v>2908</v>
      </c>
      <c r="M20" s="4">
        <v>3119</v>
      </c>
      <c r="N20" s="4">
        <v>3706</v>
      </c>
      <c r="O20" s="4">
        <v>4092</v>
      </c>
      <c r="P20" s="4">
        <v>4525</v>
      </c>
      <c r="Q20" s="4">
        <v>4643</v>
      </c>
      <c r="R20" s="4">
        <v>5284</v>
      </c>
      <c r="S20" s="4">
        <v>5749</v>
      </c>
      <c r="T20" s="4">
        <v>6499</v>
      </c>
      <c r="U20" s="4">
        <v>7092</v>
      </c>
      <c r="V20" s="4">
        <v>8442</v>
      </c>
      <c r="W20" s="4">
        <v>9290</v>
      </c>
      <c r="X20" s="4">
        <v>10083</v>
      </c>
      <c r="Y20" s="4">
        <v>10070</v>
      </c>
      <c r="Z20" s="4">
        <v>10565</v>
      </c>
      <c r="AA20" s="4">
        <v>11077</v>
      </c>
      <c r="AB20" s="4">
        <v>11503</v>
      </c>
      <c r="AC20" s="4">
        <v>12645</v>
      </c>
      <c r="AD20" s="4">
        <v>12558</v>
      </c>
      <c r="AE20" s="4">
        <v>12678</v>
      </c>
      <c r="AF20" s="4">
        <v>14141</v>
      </c>
      <c r="AG20" s="4">
        <v>13873</v>
      </c>
      <c r="AH20" s="4">
        <v>14131</v>
      </c>
      <c r="AI20" s="4">
        <v>14870</v>
      </c>
      <c r="AJ20" s="4">
        <v>15239</v>
      </c>
      <c r="AK20" s="4">
        <v>15671</v>
      </c>
      <c r="AL20" s="4">
        <v>16868</v>
      </c>
      <c r="AM20" s="4">
        <v>17744</v>
      </c>
      <c r="AN20" s="4">
        <v>17216</v>
      </c>
      <c r="AO20" s="4">
        <v>16569</v>
      </c>
      <c r="AP20" s="4">
        <v>16958</v>
      </c>
      <c r="AQ20" s="4">
        <v>17689</v>
      </c>
      <c r="AR20" s="4">
        <v>18861</v>
      </c>
      <c r="AS20" s="4">
        <v>17871</v>
      </c>
      <c r="AT20" s="4">
        <v>19301</v>
      </c>
      <c r="AU20" s="4">
        <v>18348</v>
      </c>
      <c r="AV20" s="4">
        <v>19060</v>
      </c>
      <c r="AW20" s="4">
        <v>21059</v>
      </c>
      <c r="AX20" s="4">
        <v>22863</v>
      </c>
      <c r="AY20" s="4">
        <v>23102</v>
      </c>
      <c r="AZ20" s="4">
        <v>22747</v>
      </c>
      <c r="BA20" s="4">
        <v>24940</v>
      </c>
      <c r="BB20" s="4">
        <v>27257</v>
      </c>
      <c r="BC20" s="4">
        <v>25455</v>
      </c>
      <c r="BD20" s="4">
        <v>25491</v>
      </c>
      <c r="BE20" s="4">
        <v>25820</v>
      </c>
      <c r="BF20" s="4">
        <v>26625</v>
      </c>
      <c r="BG20" s="4">
        <v>32053</v>
      </c>
      <c r="BH20" s="4">
        <v>34780</v>
      </c>
      <c r="BI20" s="4">
        <v>44456</v>
      </c>
      <c r="BJ20" s="4">
        <v>47633</v>
      </c>
    </row>
    <row r="21" spans="3:62" x14ac:dyDescent="0.2">
      <c r="C21" s="3" t="s">
        <v>80</v>
      </c>
      <c r="D21" s="4">
        <v>1116</v>
      </c>
      <c r="E21" s="4">
        <v>1246</v>
      </c>
      <c r="F21" s="4">
        <v>1363</v>
      </c>
      <c r="G21" s="4">
        <v>1525</v>
      </c>
      <c r="H21" s="4">
        <v>1699</v>
      </c>
      <c r="I21" s="4">
        <v>1838</v>
      </c>
      <c r="J21" s="4">
        <v>1928</v>
      </c>
      <c r="K21" s="4">
        <v>1977</v>
      </c>
      <c r="L21" s="4">
        <v>2565</v>
      </c>
      <c r="M21" s="4">
        <v>3157</v>
      </c>
      <c r="N21" s="4">
        <v>3288</v>
      </c>
      <c r="O21" s="4">
        <v>3243</v>
      </c>
      <c r="P21" s="4">
        <v>4381</v>
      </c>
      <c r="Q21" s="4">
        <v>4556</v>
      </c>
      <c r="R21" s="4">
        <v>4874</v>
      </c>
      <c r="S21" s="4">
        <v>5297</v>
      </c>
      <c r="T21" s="4">
        <v>7534</v>
      </c>
      <c r="U21" s="4">
        <v>8013</v>
      </c>
      <c r="V21" s="4">
        <v>6882</v>
      </c>
      <c r="W21" s="4">
        <v>7946</v>
      </c>
      <c r="X21" s="4">
        <v>9062</v>
      </c>
      <c r="Y21" s="4">
        <v>10281</v>
      </c>
      <c r="Z21" s="4">
        <v>11379</v>
      </c>
      <c r="AA21" s="4">
        <v>13740</v>
      </c>
      <c r="AB21" s="4">
        <v>14567</v>
      </c>
      <c r="AC21" s="4">
        <v>16949</v>
      </c>
      <c r="AD21" s="4">
        <v>17624</v>
      </c>
      <c r="AE21" s="4">
        <v>18428</v>
      </c>
      <c r="AF21" s="4">
        <v>19300</v>
      </c>
      <c r="AG21" s="4">
        <v>20649</v>
      </c>
      <c r="AH21" s="4">
        <v>23369</v>
      </c>
      <c r="AI21" s="4">
        <v>23214</v>
      </c>
      <c r="AJ21" s="4">
        <v>22408</v>
      </c>
      <c r="AK21" s="4">
        <v>21678</v>
      </c>
      <c r="AL21" s="4">
        <v>21245</v>
      </c>
      <c r="AM21" s="4">
        <v>22619</v>
      </c>
      <c r="AN21" s="4">
        <v>22261</v>
      </c>
      <c r="AO21" s="4">
        <v>23618</v>
      </c>
      <c r="AP21" s="4">
        <v>24374</v>
      </c>
      <c r="AQ21" s="4">
        <v>24303</v>
      </c>
      <c r="AR21" s="4">
        <v>26155</v>
      </c>
      <c r="AS21" s="4">
        <v>21999</v>
      </c>
      <c r="AT21" s="4">
        <v>23286</v>
      </c>
      <c r="AU21" s="4">
        <v>20398</v>
      </c>
      <c r="AV21" s="4">
        <v>25367</v>
      </c>
      <c r="AW21" s="4">
        <v>23550</v>
      </c>
      <c r="AX21" s="4">
        <v>21713</v>
      </c>
      <c r="AY21" s="4">
        <v>19966</v>
      </c>
      <c r="AZ21" s="4">
        <v>21403</v>
      </c>
      <c r="BA21" s="4">
        <v>21813</v>
      </c>
      <c r="BB21" s="4">
        <v>20892</v>
      </c>
      <c r="BC21" s="4">
        <v>21865</v>
      </c>
      <c r="BD21" s="4">
        <v>21784</v>
      </c>
      <c r="BE21" s="4">
        <v>24374</v>
      </c>
      <c r="BF21" s="4">
        <v>23359</v>
      </c>
      <c r="BG21" s="4">
        <v>26387</v>
      </c>
      <c r="BH21" s="4">
        <v>55442</v>
      </c>
      <c r="BI21" s="4">
        <v>34427</v>
      </c>
      <c r="BJ21" s="4">
        <v>22160</v>
      </c>
    </row>
    <row r="22" spans="3:62" x14ac:dyDescent="0.2">
      <c r="C22" s="3" t="s">
        <v>81</v>
      </c>
      <c r="D22" s="4">
        <v>302</v>
      </c>
      <c r="E22" s="4">
        <v>350</v>
      </c>
      <c r="F22" s="4">
        <v>373</v>
      </c>
      <c r="G22" s="4">
        <v>400</v>
      </c>
      <c r="H22" s="4">
        <v>470</v>
      </c>
      <c r="I22" s="4">
        <v>551</v>
      </c>
      <c r="J22" s="4">
        <v>647</v>
      </c>
      <c r="K22" s="4">
        <v>780</v>
      </c>
      <c r="L22" s="4">
        <v>848</v>
      </c>
      <c r="M22" s="4">
        <v>1011</v>
      </c>
      <c r="N22" s="4">
        <v>1176</v>
      </c>
      <c r="O22" s="4">
        <v>1266</v>
      </c>
      <c r="P22" s="4">
        <v>1388</v>
      </c>
      <c r="Q22" s="4">
        <v>1554</v>
      </c>
      <c r="R22" s="4">
        <v>1660</v>
      </c>
      <c r="S22" s="4">
        <v>1858</v>
      </c>
      <c r="T22" s="4">
        <v>2223</v>
      </c>
      <c r="U22" s="4">
        <v>2656</v>
      </c>
      <c r="V22" s="4">
        <v>2935</v>
      </c>
      <c r="W22" s="4">
        <v>3123</v>
      </c>
      <c r="X22" s="4">
        <v>4388</v>
      </c>
      <c r="Y22" s="4">
        <v>4867</v>
      </c>
      <c r="Z22" s="4">
        <v>5194</v>
      </c>
      <c r="AA22" s="4">
        <v>6028</v>
      </c>
      <c r="AB22" s="4">
        <v>7047</v>
      </c>
      <c r="AC22" s="4">
        <v>7539</v>
      </c>
      <c r="AD22" s="4">
        <v>7670</v>
      </c>
      <c r="AE22" s="4">
        <v>6374</v>
      </c>
      <c r="AF22" s="4">
        <v>6255</v>
      </c>
      <c r="AG22" s="4">
        <v>6654</v>
      </c>
      <c r="AH22" s="4">
        <v>6769</v>
      </c>
      <c r="AI22" s="4">
        <v>7144</v>
      </c>
      <c r="AJ22" s="4">
        <v>7320</v>
      </c>
      <c r="AK22" s="4">
        <v>7834</v>
      </c>
      <c r="AL22" s="4">
        <v>8151</v>
      </c>
      <c r="AM22" s="4">
        <v>8558</v>
      </c>
      <c r="AN22" s="4">
        <v>8693</v>
      </c>
      <c r="AO22" s="4">
        <v>8972</v>
      </c>
      <c r="AP22" s="4">
        <v>9588</v>
      </c>
      <c r="AQ22" s="4">
        <v>9666</v>
      </c>
      <c r="AR22" s="4">
        <v>9765</v>
      </c>
      <c r="AS22" s="4">
        <v>10024</v>
      </c>
      <c r="AT22" s="4">
        <v>11541</v>
      </c>
      <c r="AU22" s="4">
        <v>11551</v>
      </c>
      <c r="AV22" s="4">
        <v>12657</v>
      </c>
      <c r="AW22" s="4">
        <v>13252</v>
      </c>
      <c r="AX22" s="4">
        <v>13666</v>
      </c>
      <c r="AY22" s="4">
        <v>13580</v>
      </c>
      <c r="AZ22" s="4">
        <v>14150</v>
      </c>
      <c r="BA22" s="4">
        <v>15145</v>
      </c>
      <c r="BB22" s="4">
        <v>15548</v>
      </c>
      <c r="BC22" s="4">
        <v>14948</v>
      </c>
      <c r="BD22" s="4">
        <v>15758</v>
      </c>
      <c r="BE22" s="4">
        <v>15734</v>
      </c>
      <c r="BF22" s="4">
        <v>16592</v>
      </c>
      <c r="BG22" s="4">
        <v>18563</v>
      </c>
      <c r="BH22" s="4">
        <v>18451</v>
      </c>
      <c r="BI22" s="4">
        <v>19332</v>
      </c>
      <c r="BJ22" s="4">
        <v>21870</v>
      </c>
    </row>
    <row r="23" spans="3:62" x14ac:dyDescent="0.2">
      <c r="C23" s="3" t="s">
        <v>82</v>
      </c>
      <c r="D23" s="4">
        <v>6928</v>
      </c>
      <c r="E23" s="4">
        <v>7666</v>
      </c>
      <c r="F23" s="4">
        <v>8191</v>
      </c>
      <c r="G23" s="4">
        <v>9005</v>
      </c>
      <c r="H23" s="4">
        <v>9706</v>
      </c>
      <c r="I23" s="4">
        <v>10910</v>
      </c>
      <c r="J23" s="4">
        <v>12798</v>
      </c>
      <c r="K23" s="4">
        <v>13401</v>
      </c>
      <c r="L23" s="4">
        <v>13904</v>
      </c>
      <c r="M23" s="4">
        <v>14568</v>
      </c>
      <c r="N23" s="4">
        <v>16164</v>
      </c>
      <c r="O23" s="4">
        <v>17291</v>
      </c>
      <c r="P23" s="4">
        <v>18268</v>
      </c>
      <c r="Q23" s="4">
        <v>18155</v>
      </c>
      <c r="R23" s="4">
        <v>21844</v>
      </c>
      <c r="S23" s="4">
        <v>20315</v>
      </c>
      <c r="T23" s="4">
        <v>21434</v>
      </c>
      <c r="U23" s="4">
        <v>22567</v>
      </c>
      <c r="V23" s="4">
        <v>25857</v>
      </c>
      <c r="W23" s="4">
        <v>27591</v>
      </c>
      <c r="X23" s="4">
        <v>30589</v>
      </c>
      <c r="Y23" s="4">
        <v>36758</v>
      </c>
      <c r="Z23" s="4">
        <v>39075</v>
      </c>
      <c r="AA23" s="4">
        <v>38639</v>
      </c>
      <c r="AB23" s="4">
        <v>37145</v>
      </c>
      <c r="AC23" s="4">
        <v>36980</v>
      </c>
      <c r="AD23" s="4">
        <v>38039</v>
      </c>
      <c r="AE23" s="4">
        <v>35420</v>
      </c>
      <c r="AF23" s="4">
        <v>38040</v>
      </c>
      <c r="AG23" s="4">
        <v>41209</v>
      </c>
      <c r="AH23" s="4">
        <v>46485</v>
      </c>
      <c r="AI23" s="4">
        <v>45780</v>
      </c>
      <c r="AJ23" s="4">
        <v>52307</v>
      </c>
      <c r="AK23" s="4">
        <v>58557</v>
      </c>
      <c r="AL23" s="4">
        <v>62537</v>
      </c>
      <c r="AM23" s="4">
        <v>60618</v>
      </c>
      <c r="AN23" s="4">
        <v>62618</v>
      </c>
      <c r="AO23" s="4">
        <v>66644</v>
      </c>
      <c r="AP23" s="4">
        <v>70077</v>
      </c>
      <c r="AQ23" s="4">
        <v>73581</v>
      </c>
      <c r="AR23" s="4">
        <v>83637</v>
      </c>
      <c r="AS23" s="4">
        <v>85507</v>
      </c>
      <c r="AT23" s="4">
        <v>94270</v>
      </c>
      <c r="AU23" s="4">
        <v>77152</v>
      </c>
      <c r="AV23" s="4">
        <v>69984</v>
      </c>
      <c r="AW23" s="4">
        <v>74743</v>
      </c>
      <c r="AX23" s="4">
        <v>75460</v>
      </c>
      <c r="AY23" s="4">
        <v>76438</v>
      </c>
      <c r="AZ23" s="4">
        <v>79409</v>
      </c>
      <c r="BA23" s="4">
        <v>88175</v>
      </c>
      <c r="BB23" s="4">
        <v>100126</v>
      </c>
      <c r="BC23" s="4">
        <v>107035</v>
      </c>
      <c r="BD23" s="4">
        <v>110420</v>
      </c>
      <c r="BE23" s="4">
        <v>109880</v>
      </c>
      <c r="BF23" s="4">
        <v>109278</v>
      </c>
      <c r="BG23" s="4">
        <v>119008</v>
      </c>
      <c r="BH23" s="4">
        <v>125709</v>
      </c>
      <c r="BI23" s="4">
        <v>134052</v>
      </c>
      <c r="BJ23" s="4">
        <v>125140</v>
      </c>
    </row>
    <row r="24" spans="3:62" x14ac:dyDescent="0.2">
      <c r="C24" s="3" t="s">
        <v>83</v>
      </c>
      <c r="D24" s="4">
        <v>12937</v>
      </c>
      <c r="E24" s="4">
        <v>13820</v>
      </c>
      <c r="F24" s="4">
        <v>14569</v>
      </c>
      <c r="G24" s="4">
        <v>16396</v>
      </c>
      <c r="H24" s="4">
        <v>19009</v>
      </c>
      <c r="I24" s="4">
        <v>20222</v>
      </c>
      <c r="J24" s="4">
        <v>22946</v>
      </c>
      <c r="K24" s="4">
        <v>27484</v>
      </c>
      <c r="L24" s="4">
        <v>30105</v>
      </c>
      <c r="M24" s="4">
        <v>33516</v>
      </c>
      <c r="N24" s="4">
        <v>39971</v>
      </c>
      <c r="O24" s="4">
        <v>42764</v>
      </c>
      <c r="P24" s="4">
        <v>45418</v>
      </c>
      <c r="Q24" s="4">
        <v>48880</v>
      </c>
      <c r="R24" s="4">
        <v>46977</v>
      </c>
      <c r="S24" s="4">
        <v>50870</v>
      </c>
      <c r="T24" s="4">
        <v>58746</v>
      </c>
      <c r="U24" s="4">
        <v>66734</v>
      </c>
      <c r="V24" s="4">
        <v>71375</v>
      </c>
      <c r="W24" s="4">
        <v>81595</v>
      </c>
      <c r="X24" s="4">
        <v>89284</v>
      </c>
      <c r="Y24" s="4">
        <v>89280</v>
      </c>
      <c r="Z24" s="4">
        <v>85372</v>
      </c>
      <c r="AA24" s="4">
        <v>86222</v>
      </c>
      <c r="AB24" s="4">
        <v>94572</v>
      </c>
      <c r="AC24" s="4">
        <v>102463</v>
      </c>
      <c r="AD24" s="4">
        <v>105483</v>
      </c>
      <c r="AE24" s="4">
        <v>102747</v>
      </c>
      <c r="AF24" s="4">
        <v>111337</v>
      </c>
      <c r="AG24" s="4">
        <v>117097</v>
      </c>
      <c r="AH24" s="4">
        <v>123507</v>
      </c>
      <c r="AI24" s="4">
        <v>127664</v>
      </c>
      <c r="AJ24" s="4">
        <v>130570</v>
      </c>
      <c r="AK24" s="4">
        <v>135778</v>
      </c>
      <c r="AL24" s="4">
        <v>139345</v>
      </c>
      <c r="AM24" s="4">
        <v>139774</v>
      </c>
      <c r="AN24" s="4">
        <v>147298</v>
      </c>
      <c r="AO24" s="4">
        <v>150101</v>
      </c>
      <c r="AP24" s="4">
        <v>154608</v>
      </c>
      <c r="AQ24" s="4">
        <v>161442</v>
      </c>
      <c r="AR24" s="4">
        <v>182198</v>
      </c>
      <c r="AS24" s="4">
        <v>191818</v>
      </c>
      <c r="AT24" s="4">
        <v>196545</v>
      </c>
      <c r="AU24" s="4">
        <v>185637</v>
      </c>
      <c r="AV24" s="4">
        <v>193015</v>
      </c>
      <c r="AW24" s="4">
        <v>205854</v>
      </c>
      <c r="AX24" s="4">
        <v>209994</v>
      </c>
      <c r="AY24" s="4">
        <v>215569</v>
      </c>
      <c r="AZ24" s="4">
        <v>224205</v>
      </c>
      <c r="BA24" s="4">
        <v>232860</v>
      </c>
      <c r="BB24" s="4">
        <v>235118</v>
      </c>
      <c r="BC24" s="4">
        <v>247542</v>
      </c>
      <c r="BD24" s="4">
        <v>255084</v>
      </c>
      <c r="BE24" s="4">
        <v>252638</v>
      </c>
      <c r="BF24" s="4">
        <v>282828</v>
      </c>
      <c r="BG24" s="4">
        <v>294855</v>
      </c>
      <c r="BH24" s="4">
        <v>285871</v>
      </c>
      <c r="BI24" s="4">
        <v>293977</v>
      </c>
      <c r="BJ24" s="4">
        <v>293852</v>
      </c>
    </row>
    <row r="25" spans="3:62" x14ac:dyDescent="0.2">
      <c r="C25" s="3" t="s">
        <v>84</v>
      </c>
      <c r="D25" s="4">
        <v>4732</v>
      </c>
      <c r="E25" s="4">
        <v>5200</v>
      </c>
      <c r="F25" s="4">
        <v>5840</v>
      </c>
      <c r="G25" s="4">
        <v>6514</v>
      </c>
      <c r="H25" s="4">
        <v>7135</v>
      </c>
      <c r="I25" s="4">
        <v>7252</v>
      </c>
      <c r="J25" s="4">
        <v>8163</v>
      </c>
      <c r="K25" s="4">
        <v>9428</v>
      </c>
      <c r="L25" s="4">
        <v>10494</v>
      </c>
      <c r="M25" s="4">
        <v>11526</v>
      </c>
      <c r="N25" s="4">
        <v>12504</v>
      </c>
      <c r="O25" s="4">
        <v>14123</v>
      </c>
      <c r="P25" s="4">
        <v>15151</v>
      </c>
      <c r="Q25" s="4">
        <v>17760</v>
      </c>
      <c r="R25" s="4">
        <v>18385</v>
      </c>
      <c r="S25" s="4">
        <v>20756</v>
      </c>
      <c r="T25" s="4">
        <v>23026</v>
      </c>
      <c r="U25" s="4">
        <v>25103</v>
      </c>
      <c r="V25" s="4">
        <v>29176</v>
      </c>
      <c r="W25" s="4">
        <v>30924</v>
      </c>
      <c r="X25" s="4">
        <v>32450</v>
      </c>
      <c r="Y25" s="4">
        <v>35633</v>
      </c>
      <c r="Z25" s="4">
        <v>40083</v>
      </c>
      <c r="AA25" s="4">
        <v>43196</v>
      </c>
      <c r="AB25" s="4">
        <v>44918</v>
      </c>
      <c r="AC25" s="4">
        <v>45879</v>
      </c>
      <c r="AD25" s="4">
        <v>48723</v>
      </c>
      <c r="AE25" s="4">
        <v>48912</v>
      </c>
      <c r="AF25" s="4">
        <v>52011</v>
      </c>
      <c r="AG25" s="4">
        <v>55028</v>
      </c>
      <c r="AH25" s="4">
        <v>56957</v>
      </c>
      <c r="AI25" s="4">
        <v>62135</v>
      </c>
      <c r="AJ25" s="4">
        <v>60618</v>
      </c>
      <c r="AK25" s="4">
        <v>63505</v>
      </c>
      <c r="AL25" s="4">
        <v>72517</v>
      </c>
      <c r="AM25" s="4">
        <v>76817</v>
      </c>
      <c r="AN25" s="4">
        <v>77595</v>
      </c>
      <c r="AO25" s="4">
        <v>80126</v>
      </c>
      <c r="AP25" s="4">
        <v>87781</v>
      </c>
      <c r="AQ25" s="4">
        <v>92390</v>
      </c>
      <c r="AR25" s="4">
        <v>83758</v>
      </c>
      <c r="AS25" s="4">
        <v>91199</v>
      </c>
      <c r="AT25" s="4">
        <v>86914</v>
      </c>
      <c r="AU25" s="4">
        <v>71091</v>
      </c>
      <c r="AV25" s="4">
        <v>91919</v>
      </c>
      <c r="AW25" s="4">
        <v>82060</v>
      </c>
      <c r="AX25" s="4">
        <v>82136</v>
      </c>
      <c r="AY25" s="4">
        <v>96465</v>
      </c>
      <c r="AZ25" s="4">
        <v>105210</v>
      </c>
      <c r="BA25" s="4">
        <v>104081</v>
      </c>
      <c r="BB25" s="4">
        <v>94104</v>
      </c>
      <c r="BC25" s="4">
        <v>102974</v>
      </c>
      <c r="BD25" s="4">
        <v>96770</v>
      </c>
      <c r="BE25" s="4">
        <v>107372</v>
      </c>
      <c r="BF25" s="4">
        <v>104964</v>
      </c>
      <c r="BG25" s="4">
        <v>181541</v>
      </c>
      <c r="BH25" s="4">
        <v>330454</v>
      </c>
      <c r="BI25" s="4">
        <v>143920</v>
      </c>
      <c r="BJ25" s="4">
        <v>154616</v>
      </c>
    </row>
    <row r="26" spans="3:62" x14ac:dyDescent="0.2">
      <c r="C26" s="3" t="s">
        <v>85</v>
      </c>
      <c r="D26" s="4">
        <v>1022</v>
      </c>
      <c r="E26" s="4">
        <v>1135</v>
      </c>
      <c r="F26" s="4">
        <v>1183</v>
      </c>
      <c r="G26" s="4">
        <v>1364</v>
      </c>
      <c r="H26" s="4">
        <v>1521</v>
      </c>
      <c r="I26" s="4">
        <v>1759</v>
      </c>
      <c r="J26" s="4">
        <v>1681</v>
      </c>
      <c r="K26" s="4">
        <v>2145</v>
      </c>
      <c r="L26" s="4">
        <v>2279</v>
      </c>
      <c r="M26" s="4">
        <v>2823</v>
      </c>
      <c r="N26" s="4">
        <v>3077</v>
      </c>
      <c r="O26" s="4">
        <v>3636</v>
      </c>
      <c r="P26" s="4">
        <v>4009</v>
      </c>
      <c r="Q26" s="4">
        <v>4434</v>
      </c>
      <c r="R26" s="4">
        <v>4938</v>
      </c>
      <c r="S26" s="4">
        <v>5461</v>
      </c>
      <c r="T26" s="4">
        <v>6241</v>
      </c>
      <c r="U26" s="4">
        <v>6937</v>
      </c>
      <c r="V26" s="4">
        <v>8513</v>
      </c>
      <c r="W26" s="4">
        <v>9338</v>
      </c>
      <c r="X26" s="4">
        <v>9419</v>
      </c>
      <c r="Y26" s="4">
        <v>10004</v>
      </c>
      <c r="Z26" s="4">
        <v>10065</v>
      </c>
      <c r="AA26" s="4">
        <v>10535</v>
      </c>
      <c r="AB26" s="4">
        <v>11271</v>
      </c>
      <c r="AC26" s="4">
        <v>11673</v>
      </c>
      <c r="AD26" s="4">
        <v>11854</v>
      </c>
      <c r="AE26" s="4">
        <v>11794</v>
      </c>
      <c r="AF26" s="4">
        <v>12453</v>
      </c>
      <c r="AG26" s="4">
        <v>13515</v>
      </c>
      <c r="AH26" s="4">
        <v>13710</v>
      </c>
      <c r="AI26" s="4">
        <v>15258</v>
      </c>
      <c r="AJ26" s="4">
        <v>15801</v>
      </c>
      <c r="AK26" s="4">
        <v>17632</v>
      </c>
      <c r="AL26" s="4">
        <v>16504</v>
      </c>
      <c r="AM26" s="4">
        <v>16889</v>
      </c>
      <c r="AN26" s="4">
        <v>17719</v>
      </c>
      <c r="AO26" s="4">
        <v>17972</v>
      </c>
      <c r="AP26" s="4">
        <v>18360</v>
      </c>
      <c r="AQ26" s="4">
        <v>19060</v>
      </c>
      <c r="AR26" s="4">
        <v>21281</v>
      </c>
      <c r="AS26" s="4">
        <v>22607</v>
      </c>
      <c r="AT26" s="4">
        <v>23223</v>
      </c>
      <c r="AU26" s="4">
        <v>21818</v>
      </c>
      <c r="AV26" s="4">
        <v>21082</v>
      </c>
      <c r="AW26" s="4">
        <v>22992</v>
      </c>
      <c r="AX26" s="4">
        <v>23828</v>
      </c>
      <c r="AY26" s="4">
        <v>25649</v>
      </c>
      <c r="AZ26" s="4">
        <v>26648</v>
      </c>
      <c r="BA26" s="4">
        <v>26645</v>
      </c>
      <c r="BB26" s="4">
        <v>29952</v>
      </c>
      <c r="BC26" s="4">
        <v>30956</v>
      </c>
      <c r="BD26" s="4">
        <v>32533</v>
      </c>
      <c r="BE26" s="4">
        <v>33442</v>
      </c>
      <c r="BF26" s="4">
        <v>21672</v>
      </c>
      <c r="BG26" s="4">
        <v>25847</v>
      </c>
      <c r="BH26" s="4">
        <v>36404</v>
      </c>
      <c r="BI26" s="4">
        <v>39453</v>
      </c>
      <c r="BJ26" s="4">
        <v>42155</v>
      </c>
    </row>
    <row r="27" spans="3:62" x14ac:dyDescent="0.2">
      <c r="C27" s="3" t="s">
        <v>86</v>
      </c>
      <c r="D27" s="4">
        <v>969</v>
      </c>
      <c r="E27" s="4">
        <v>1083</v>
      </c>
      <c r="F27" s="4">
        <v>1169</v>
      </c>
      <c r="G27" s="4">
        <v>1302</v>
      </c>
      <c r="H27" s="4">
        <v>1452</v>
      </c>
      <c r="I27" s="4">
        <v>1566</v>
      </c>
      <c r="J27" s="4">
        <v>1751</v>
      </c>
      <c r="K27" s="4">
        <v>1982</v>
      </c>
      <c r="L27" s="4">
        <v>2206</v>
      </c>
      <c r="M27" s="4">
        <v>2466</v>
      </c>
      <c r="N27" s="4">
        <v>2801</v>
      </c>
      <c r="O27" s="4">
        <v>3035</v>
      </c>
      <c r="P27" s="4">
        <v>3699</v>
      </c>
      <c r="Q27" s="4">
        <v>3959</v>
      </c>
      <c r="R27" s="4">
        <v>4336</v>
      </c>
      <c r="S27" s="4">
        <v>4301</v>
      </c>
      <c r="T27" s="4">
        <v>5165</v>
      </c>
      <c r="U27" s="4">
        <v>5820</v>
      </c>
      <c r="V27" s="4">
        <v>6465</v>
      </c>
      <c r="W27" s="4">
        <v>6701</v>
      </c>
      <c r="X27" s="4">
        <v>7556</v>
      </c>
      <c r="Y27" s="4">
        <v>7975</v>
      </c>
      <c r="Z27" s="4">
        <v>8060</v>
      </c>
      <c r="AA27" s="4">
        <v>8783</v>
      </c>
      <c r="AB27" s="4">
        <v>9739</v>
      </c>
      <c r="AC27" s="4">
        <v>9909</v>
      </c>
      <c r="AD27" s="4">
        <v>10587</v>
      </c>
      <c r="AE27" s="4">
        <v>10418</v>
      </c>
      <c r="AF27" s="4">
        <v>10953</v>
      </c>
      <c r="AG27" s="4">
        <v>11404</v>
      </c>
      <c r="AH27" s="4">
        <v>11842</v>
      </c>
      <c r="AI27" s="4">
        <v>12877</v>
      </c>
      <c r="AJ27" s="4">
        <v>13847</v>
      </c>
      <c r="AK27" s="4">
        <v>15033</v>
      </c>
      <c r="AL27" s="4">
        <v>15858</v>
      </c>
      <c r="AM27" s="4">
        <v>15900</v>
      </c>
      <c r="AN27" s="4">
        <v>16510</v>
      </c>
      <c r="AO27" s="4">
        <v>16963</v>
      </c>
      <c r="AP27" s="4">
        <v>16503</v>
      </c>
      <c r="AQ27" s="4">
        <v>18250</v>
      </c>
      <c r="AR27" s="4">
        <v>17942</v>
      </c>
      <c r="AS27" s="4">
        <v>18228</v>
      </c>
      <c r="AT27" s="4">
        <v>20326</v>
      </c>
      <c r="AU27" s="4">
        <v>18914</v>
      </c>
      <c r="AV27" s="4">
        <v>20506</v>
      </c>
      <c r="AW27" s="4">
        <v>20954</v>
      </c>
      <c r="AX27" s="4">
        <v>21280</v>
      </c>
      <c r="AY27" s="4">
        <v>22248</v>
      </c>
      <c r="AZ27" s="4">
        <v>24036</v>
      </c>
      <c r="BA27" s="4">
        <v>26563</v>
      </c>
      <c r="BB27" s="4">
        <v>27418</v>
      </c>
      <c r="BC27" s="4">
        <v>26714</v>
      </c>
      <c r="BD27" s="4">
        <v>27552</v>
      </c>
      <c r="BE27" s="4">
        <v>27911</v>
      </c>
      <c r="BF27" s="4">
        <v>27329</v>
      </c>
      <c r="BG27" s="4">
        <v>29361</v>
      </c>
      <c r="BH27" s="4">
        <v>29241</v>
      </c>
      <c r="BI27" s="4">
        <v>29124</v>
      </c>
      <c r="BJ27" s="4">
        <v>31172</v>
      </c>
    </row>
    <row r="28" spans="3:62" x14ac:dyDescent="0.2">
      <c r="C28" s="3" t="s">
        <v>87</v>
      </c>
      <c r="D28" s="4">
        <v>752</v>
      </c>
      <c r="E28" s="4">
        <v>812</v>
      </c>
      <c r="F28" s="4">
        <v>860</v>
      </c>
      <c r="G28" s="4">
        <v>942</v>
      </c>
      <c r="H28" s="4">
        <v>1059</v>
      </c>
      <c r="I28" s="4">
        <v>1106</v>
      </c>
      <c r="J28" s="4">
        <v>1183</v>
      </c>
      <c r="K28" s="4">
        <v>1336</v>
      </c>
      <c r="L28" s="4">
        <v>1466</v>
      </c>
      <c r="M28" s="4">
        <v>1695</v>
      </c>
      <c r="N28" s="4">
        <v>1975</v>
      </c>
      <c r="O28" s="4">
        <v>2181</v>
      </c>
      <c r="P28" s="4">
        <v>2403</v>
      </c>
      <c r="Q28" s="4">
        <v>2633</v>
      </c>
      <c r="R28" s="4">
        <v>2863</v>
      </c>
      <c r="S28" s="4">
        <v>3211</v>
      </c>
      <c r="T28" s="4">
        <v>3754</v>
      </c>
      <c r="U28" s="4">
        <v>4526</v>
      </c>
      <c r="V28" s="4">
        <v>5616</v>
      </c>
      <c r="W28" s="4">
        <v>6117</v>
      </c>
      <c r="X28" s="4">
        <v>6178</v>
      </c>
      <c r="Y28" s="4">
        <v>6464</v>
      </c>
      <c r="Z28" s="4">
        <v>7568</v>
      </c>
      <c r="AA28" s="4">
        <v>8208</v>
      </c>
      <c r="AB28" s="4">
        <v>9071</v>
      </c>
      <c r="AC28" s="4">
        <v>9346</v>
      </c>
      <c r="AD28" s="4">
        <v>10533</v>
      </c>
      <c r="AE28" s="4">
        <v>10888</v>
      </c>
      <c r="AF28" s="4">
        <v>11202</v>
      </c>
      <c r="AG28" s="4">
        <v>10556</v>
      </c>
      <c r="AH28" s="4">
        <v>13990</v>
      </c>
      <c r="AI28" s="4">
        <v>14704</v>
      </c>
      <c r="AJ28" s="4">
        <v>15525</v>
      </c>
      <c r="AK28" s="4">
        <v>17039</v>
      </c>
      <c r="AL28" s="4">
        <v>17898</v>
      </c>
      <c r="AM28" s="4">
        <v>17040</v>
      </c>
      <c r="AN28" s="4">
        <v>17387</v>
      </c>
      <c r="AO28" s="4">
        <v>20835</v>
      </c>
      <c r="AP28" s="4">
        <v>20836</v>
      </c>
      <c r="AQ28" s="4">
        <v>20484</v>
      </c>
      <c r="AR28" s="4">
        <v>20873</v>
      </c>
      <c r="AS28" s="4">
        <v>20580</v>
      </c>
      <c r="AT28" s="4">
        <v>21418</v>
      </c>
      <c r="AU28" s="4">
        <v>21140</v>
      </c>
      <c r="AV28" s="4">
        <v>18714</v>
      </c>
      <c r="AW28" s="4">
        <v>20843</v>
      </c>
      <c r="AX28" s="4">
        <v>19940</v>
      </c>
      <c r="AY28" s="4">
        <v>21076</v>
      </c>
      <c r="AZ28" s="4">
        <v>18740</v>
      </c>
      <c r="BA28" s="4">
        <v>18700</v>
      </c>
      <c r="BB28" s="4">
        <v>19320</v>
      </c>
      <c r="BC28" s="4">
        <v>18936</v>
      </c>
      <c r="BD28" s="4">
        <v>18554</v>
      </c>
      <c r="BE28" s="4">
        <v>20411</v>
      </c>
      <c r="BF28" s="4">
        <v>20523</v>
      </c>
      <c r="BG28" s="4">
        <v>19766</v>
      </c>
      <c r="BH28" s="4">
        <v>20314</v>
      </c>
      <c r="BI28" s="4">
        <v>21632</v>
      </c>
      <c r="BJ28" s="4">
        <v>22992</v>
      </c>
    </row>
    <row r="29" spans="3:62" x14ac:dyDescent="0.2">
      <c r="C29" s="3" t="s">
        <v>88</v>
      </c>
      <c r="D29" s="4">
        <v>55</v>
      </c>
      <c r="E29" s="4">
        <v>107</v>
      </c>
      <c r="F29" s="4">
        <v>137</v>
      </c>
      <c r="G29" s="4">
        <v>179</v>
      </c>
      <c r="H29" s="4">
        <v>227</v>
      </c>
      <c r="I29" s="4">
        <v>283</v>
      </c>
      <c r="J29" s="4">
        <v>358</v>
      </c>
      <c r="K29" s="4">
        <v>451</v>
      </c>
      <c r="L29" s="4">
        <v>527</v>
      </c>
      <c r="M29" s="4">
        <v>672</v>
      </c>
      <c r="N29" s="4">
        <v>805</v>
      </c>
      <c r="O29" s="4">
        <v>940</v>
      </c>
      <c r="P29" s="4">
        <v>1128</v>
      </c>
      <c r="Q29" s="4">
        <v>1458</v>
      </c>
      <c r="R29" s="4">
        <v>1684</v>
      </c>
      <c r="S29" s="4">
        <v>1996</v>
      </c>
      <c r="T29" s="4">
        <v>2379</v>
      </c>
      <c r="U29" s="4">
        <v>3089</v>
      </c>
      <c r="V29" s="4">
        <v>3508</v>
      </c>
      <c r="W29" s="4">
        <v>4037</v>
      </c>
      <c r="X29" s="4">
        <v>4706</v>
      </c>
      <c r="Y29" s="4">
        <v>5721</v>
      </c>
      <c r="Z29" s="4">
        <v>6401</v>
      </c>
      <c r="AA29" s="4">
        <v>7159</v>
      </c>
      <c r="AB29" s="4">
        <v>7841</v>
      </c>
      <c r="AC29" s="4">
        <v>8011</v>
      </c>
      <c r="AD29" s="4">
        <v>8014</v>
      </c>
      <c r="AE29" s="4">
        <v>8269</v>
      </c>
      <c r="AF29" s="4">
        <v>9162</v>
      </c>
      <c r="AG29" s="4">
        <v>7904</v>
      </c>
      <c r="AH29" s="4">
        <v>7696</v>
      </c>
      <c r="AI29" s="4">
        <v>11476</v>
      </c>
      <c r="AJ29" s="4">
        <v>11814</v>
      </c>
      <c r="AK29" s="4">
        <v>13446</v>
      </c>
      <c r="AL29" s="4">
        <v>15418</v>
      </c>
      <c r="AM29" s="4">
        <v>18190</v>
      </c>
      <c r="AN29" s="4">
        <v>19527</v>
      </c>
      <c r="AO29" s="4">
        <v>19450</v>
      </c>
      <c r="AP29" s="4">
        <v>21090</v>
      </c>
      <c r="AQ29" s="4">
        <v>19842</v>
      </c>
      <c r="AR29" s="4">
        <v>23250</v>
      </c>
      <c r="AS29" s="4">
        <v>25462</v>
      </c>
      <c r="AT29" s="4">
        <v>28501</v>
      </c>
      <c r="AU29" s="4">
        <v>32790</v>
      </c>
      <c r="AV29" s="4">
        <v>35191</v>
      </c>
      <c r="AW29" s="4">
        <v>32010</v>
      </c>
      <c r="AX29" s="4">
        <v>32261</v>
      </c>
      <c r="AY29" s="4">
        <v>35156</v>
      </c>
      <c r="AZ29" s="4">
        <v>34893</v>
      </c>
      <c r="BA29" s="4">
        <v>36510</v>
      </c>
      <c r="BB29" s="4">
        <v>39662</v>
      </c>
      <c r="BC29" s="4">
        <v>42137</v>
      </c>
      <c r="BD29" s="4">
        <v>42871</v>
      </c>
      <c r="BE29" s="4">
        <v>48063</v>
      </c>
      <c r="BF29" s="4">
        <v>51558</v>
      </c>
      <c r="BG29" s="4">
        <v>53700</v>
      </c>
      <c r="BH29" s="4">
        <v>56210</v>
      </c>
      <c r="BI29" s="4">
        <v>62968</v>
      </c>
      <c r="BJ29" s="4">
        <v>66261</v>
      </c>
    </row>
    <row r="30" spans="3:62" x14ac:dyDescent="0.2">
      <c r="C30" s="3" t="s">
        <v>89</v>
      </c>
      <c r="D30" s="4">
        <v>3831</v>
      </c>
      <c r="E30" s="4">
        <v>4200</v>
      </c>
      <c r="F30" s="4">
        <v>4560</v>
      </c>
      <c r="G30" s="4">
        <v>5172</v>
      </c>
      <c r="H30" s="4">
        <v>5488</v>
      </c>
      <c r="I30" s="4">
        <v>6174</v>
      </c>
      <c r="J30" s="4">
        <v>6853</v>
      </c>
      <c r="K30" s="4">
        <v>8249</v>
      </c>
      <c r="L30" s="4">
        <v>9339</v>
      </c>
      <c r="M30" s="4">
        <v>10141</v>
      </c>
      <c r="N30" s="4">
        <v>12146</v>
      </c>
      <c r="O30" s="4">
        <v>12836</v>
      </c>
      <c r="P30" s="4">
        <v>14583</v>
      </c>
      <c r="Q30" s="4">
        <v>15665</v>
      </c>
      <c r="R30" s="4">
        <v>16970</v>
      </c>
      <c r="S30" s="4">
        <v>17725</v>
      </c>
      <c r="T30" s="4">
        <v>20791</v>
      </c>
      <c r="U30" s="4">
        <v>22818</v>
      </c>
      <c r="V30" s="4">
        <v>26331</v>
      </c>
      <c r="W30" s="4">
        <v>27998</v>
      </c>
      <c r="X30" s="4">
        <v>30237</v>
      </c>
      <c r="Y30" s="4">
        <v>31443</v>
      </c>
      <c r="Z30" s="4">
        <v>32237</v>
      </c>
      <c r="AA30" s="4">
        <v>38155</v>
      </c>
      <c r="AB30" s="4">
        <v>36656</v>
      </c>
      <c r="AC30" s="4">
        <v>38722</v>
      </c>
      <c r="AD30" s="4">
        <v>41434</v>
      </c>
      <c r="AE30" s="4">
        <v>42924</v>
      </c>
      <c r="AF30" s="4">
        <v>48422</v>
      </c>
      <c r="AG30" s="4">
        <v>48617</v>
      </c>
      <c r="AH30" s="4">
        <v>46024</v>
      </c>
      <c r="AI30" s="4">
        <v>46384</v>
      </c>
      <c r="AJ30" s="4">
        <v>48678</v>
      </c>
      <c r="AK30" s="4">
        <v>47109</v>
      </c>
      <c r="AL30" s="4">
        <v>51943</v>
      </c>
      <c r="AM30" s="4">
        <v>54912</v>
      </c>
      <c r="AN30" s="4">
        <v>57504</v>
      </c>
      <c r="AO30" s="4">
        <v>60365</v>
      </c>
      <c r="AP30" s="4">
        <v>62784</v>
      </c>
      <c r="AQ30" s="4">
        <v>69159</v>
      </c>
      <c r="AR30" s="4">
        <v>73155</v>
      </c>
      <c r="AS30" s="4">
        <v>80254</v>
      </c>
      <c r="AT30" s="4">
        <v>90449</v>
      </c>
      <c r="AU30" s="4">
        <v>92317</v>
      </c>
      <c r="AV30" s="4">
        <v>94696</v>
      </c>
      <c r="AW30" s="4">
        <v>92064</v>
      </c>
      <c r="AX30" s="4">
        <v>99687</v>
      </c>
      <c r="AY30" s="4">
        <v>98056</v>
      </c>
      <c r="AZ30" s="4">
        <v>99817</v>
      </c>
      <c r="BA30" s="4">
        <v>102764</v>
      </c>
      <c r="BB30" s="4">
        <v>103398</v>
      </c>
      <c r="BC30" s="4">
        <v>107380</v>
      </c>
      <c r="BD30" s="4">
        <v>109399</v>
      </c>
      <c r="BE30" s="4">
        <v>107808</v>
      </c>
      <c r="BF30" s="4">
        <v>107425</v>
      </c>
      <c r="BG30" s="4">
        <v>115626</v>
      </c>
      <c r="BH30" s="4">
        <v>115142</v>
      </c>
      <c r="BI30" s="4">
        <v>137432</v>
      </c>
      <c r="BJ30" s="4">
        <v>142572</v>
      </c>
    </row>
    <row r="31" spans="3:62" x14ac:dyDescent="0.2">
      <c r="C31" s="3" t="s">
        <v>90</v>
      </c>
      <c r="D31" s="4">
        <v>903</v>
      </c>
      <c r="E31" s="4">
        <v>1092</v>
      </c>
      <c r="F31" s="4">
        <v>1261</v>
      </c>
      <c r="G31" s="4">
        <v>1651</v>
      </c>
      <c r="H31" s="4">
        <v>1802</v>
      </c>
      <c r="I31" s="4">
        <v>2088</v>
      </c>
      <c r="J31" s="4">
        <v>2322</v>
      </c>
      <c r="K31" s="4">
        <v>2757</v>
      </c>
      <c r="L31" s="4">
        <v>2961</v>
      </c>
      <c r="M31" s="4">
        <v>3160</v>
      </c>
      <c r="N31" s="4">
        <v>3774</v>
      </c>
      <c r="O31" s="4">
        <v>4153</v>
      </c>
      <c r="P31" s="4">
        <v>4578</v>
      </c>
      <c r="Q31" s="4">
        <v>5343</v>
      </c>
      <c r="R31" s="4">
        <v>5631</v>
      </c>
      <c r="S31" s="4">
        <v>6110</v>
      </c>
      <c r="T31" s="4">
        <v>6909</v>
      </c>
      <c r="U31" s="4">
        <v>7804</v>
      </c>
      <c r="V31" s="4">
        <v>8705</v>
      </c>
      <c r="W31" s="4">
        <v>9653</v>
      </c>
      <c r="X31" s="4">
        <v>10289</v>
      </c>
      <c r="Y31" s="4">
        <v>11166</v>
      </c>
      <c r="Z31" s="4">
        <v>11799</v>
      </c>
      <c r="AA31" s="4">
        <v>12666</v>
      </c>
      <c r="AB31" s="4">
        <v>14538</v>
      </c>
      <c r="AC31" s="4">
        <v>15275</v>
      </c>
      <c r="AD31" s="4">
        <v>16102</v>
      </c>
      <c r="AE31" s="4">
        <v>16235</v>
      </c>
      <c r="AF31" s="4">
        <v>18343</v>
      </c>
      <c r="AG31" s="4">
        <v>18467</v>
      </c>
      <c r="AH31" s="4">
        <v>19028</v>
      </c>
      <c r="AI31" s="4">
        <v>19297</v>
      </c>
      <c r="AJ31" s="4">
        <v>20603</v>
      </c>
      <c r="AK31" s="4">
        <v>23321</v>
      </c>
      <c r="AL31" s="4">
        <v>25431</v>
      </c>
      <c r="AM31" s="4">
        <v>28829</v>
      </c>
      <c r="AN31" s="4">
        <v>28904</v>
      </c>
      <c r="AO31" s="4">
        <v>29904</v>
      </c>
      <c r="AP31" s="4">
        <v>30020</v>
      </c>
      <c r="AQ31" s="4">
        <v>34160</v>
      </c>
      <c r="AR31" s="4">
        <v>37165</v>
      </c>
      <c r="AS31" s="4">
        <v>39091</v>
      </c>
      <c r="AT31" s="4">
        <v>36748</v>
      </c>
      <c r="AU31" s="4">
        <v>37391</v>
      </c>
      <c r="AV31" s="4">
        <v>39034</v>
      </c>
      <c r="AW31" s="4">
        <v>39586</v>
      </c>
      <c r="AX31" s="4">
        <v>40377</v>
      </c>
      <c r="AY31" s="4">
        <v>39615</v>
      </c>
      <c r="AZ31" s="4">
        <v>40913</v>
      </c>
      <c r="BA31" s="4">
        <v>42857</v>
      </c>
      <c r="BB31" s="4">
        <v>45830</v>
      </c>
      <c r="BC31" s="4">
        <v>50341</v>
      </c>
      <c r="BD31" s="4">
        <v>53452</v>
      </c>
      <c r="BE31" s="4">
        <v>56727</v>
      </c>
      <c r="BF31" s="4">
        <v>57904</v>
      </c>
      <c r="BG31" s="4">
        <v>59312</v>
      </c>
      <c r="BH31" s="4">
        <v>61734</v>
      </c>
      <c r="BI31" s="4">
        <v>65652</v>
      </c>
      <c r="BJ31" s="4">
        <v>66712</v>
      </c>
    </row>
    <row r="32" spans="3:62" x14ac:dyDescent="0.2">
      <c r="C32" s="3" t="s">
        <v>91</v>
      </c>
      <c r="D32" s="4">
        <v>2442</v>
      </c>
      <c r="E32" s="4">
        <v>3124</v>
      </c>
      <c r="F32" s="4">
        <v>3955</v>
      </c>
      <c r="G32" s="4">
        <v>5237</v>
      </c>
      <c r="H32" s="4">
        <v>5783</v>
      </c>
      <c r="I32" s="4">
        <v>6981</v>
      </c>
      <c r="J32" s="4">
        <v>8604</v>
      </c>
      <c r="K32" s="4">
        <v>10477</v>
      </c>
      <c r="L32" s="4">
        <v>11704</v>
      </c>
      <c r="M32" s="4">
        <v>13329</v>
      </c>
      <c r="N32" s="4">
        <v>17063</v>
      </c>
      <c r="O32" s="4">
        <v>19185</v>
      </c>
      <c r="P32" s="4">
        <v>21856</v>
      </c>
      <c r="Q32" s="4">
        <v>25453</v>
      </c>
      <c r="R32" s="4">
        <v>25573</v>
      </c>
      <c r="S32" s="4">
        <v>27692</v>
      </c>
      <c r="T32" s="4">
        <v>30301</v>
      </c>
      <c r="U32" s="4">
        <v>33439</v>
      </c>
      <c r="V32" s="4">
        <v>36388</v>
      </c>
      <c r="W32" s="4">
        <v>38996</v>
      </c>
      <c r="X32" s="4">
        <v>41111</v>
      </c>
      <c r="Y32" s="4">
        <v>44649</v>
      </c>
      <c r="Z32" s="4">
        <v>47244</v>
      </c>
      <c r="AA32" s="4">
        <v>50326</v>
      </c>
      <c r="AB32" s="4">
        <v>53794</v>
      </c>
      <c r="AC32" s="4">
        <v>56946</v>
      </c>
      <c r="AD32" s="4">
        <v>60140</v>
      </c>
      <c r="AE32" s="4">
        <v>63405</v>
      </c>
      <c r="AF32" s="4">
        <v>64440</v>
      </c>
      <c r="AG32" s="4">
        <v>68372</v>
      </c>
      <c r="AH32" s="4">
        <v>68881</v>
      </c>
      <c r="AI32" s="4">
        <v>67788</v>
      </c>
      <c r="AJ32" s="4">
        <v>69753</v>
      </c>
      <c r="AK32" s="4">
        <v>71501</v>
      </c>
      <c r="AL32" s="4">
        <v>78643</v>
      </c>
      <c r="AM32" s="4">
        <v>81677</v>
      </c>
      <c r="AN32" s="4">
        <v>86768</v>
      </c>
      <c r="AO32" s="4">
        <v>91569</v>
      </c>
      <c r="AP32" s="4">
        <v>95734</v>
      </c>
      <c r="AQ32" s="4">
        <v>97723</v>
      </c>
      <c r="AR32" s="4">
        <v>98746</v>
      </c>
      <c r="AS32" s="4">
        <v>101157</v>
      </c>
      <c r="AT32" s="4">
        <v>105435</v>
      </c>
      <c r="AU32" s="4">
        <v>112804</v>
      </c>
      <c r="AV32" s="4">
        <v>121411</v>
      </c>
      <c r="AW32" s="4">
        <v>130746</v>
      </c>
      <c r="AX32" s="4">
        <v>131504</v>
      </c>
      <c r="AY32" s="4">
        <v>136238</v>
      </c>
      <c r="AZ32" s="4">
        <v>142586</v>
      </c>
      <c r="BA32" s="4">
        <v>145752</v>
      </c>
      <c r="BB32" s="4">
        <v>150173</v>
      </c>
      <c r="BC32" s="4">
        <v>155199</v>
      </c>
      <c r="BD32" s="4">
        <v>159450</v>
      </c>
      <c r="BE32" s="4">
        <v>165971</v>
      </c>
      <c r="BF32" s="4">
        <v>173252</v>
      </c>
      <c r="BG32" s="4">
        <v>177629</v>
      </c>
      <c r="BH32" s="4">
        <v>186625</v>
      </c>
      <c r="BI32" s="4">
        <v>191417</v>
      </c>
      <c r="BJ32" s="4">
        <v>195894</v>
      </c>
    </row>
    <row r="33" spans="2:62" x14ac:dyDescent="0.2">
      <c r="C33" s="3" t="s">
        <v>92</v>
      </c>
      <c r="D33" s="4">
        <v>1447</v>
      </c>
      <c r="E33" s="4">
        <v>1537</v>
      </c>
      <c r="F33" s="4">
        <v>1731</v>
      </c>
      <c r="G33" s="4">
        <v>1931</v>
      </c>
      <c r="H33" s="4">
        <v>2196</v>
      </c>
      <c r="I33" s="4">
        <v>2436</v>
      </c>
      <c r="J33" s="4">
        <v>2789</v>
      </c>
      <c r="K33" s="4">
        <v>3147</v>
      </c>
      <c r="L33" s="4">
        <v>3452</v>
      </c>
      <c r="M33" s="4">
        <v>3853</v>
      </c>
      <c r="N33" s="4">
        <v>4354</v>
      </c>
      <c r="O33" s="4">
        <v>5070</v>
      </c>
      <c r="P33" s="4">
        <v>5891</v>
      </c>
      <c r="Q33" s="4">
        <v>6950</v>
      </c>
      <c r="R33" s="4">
        <v>7907</v>
      </c>
      <c r="S33" s="4">
        <v>8899</v>
      </c>
      <c r="T33" s="4">
        <v>10504</v>
      </c>
      <c r="U33" s="4">
        <v>12011</v>
      </c>
      <c r="V33" s="4">
        <v>12928</v>
      </c>
      <c r="W33" s="4">
        <v>14338</v>
      </c>
      <c r="X33" s="4">
        <v>16252</v>
      </c>
      <c r="Y33" s="4">
        <v>18252</v>
      </c>
      <c r="Z33" s="4">
        <v>19990</v>
      </c>
      <c r="AA33" s="4">
        <v>23254</v>
      </c>
      <c r="AB33" s="4">
        <v>25641</v>
      </c>
      <c r="AC33" s="4">
        <v>26885</v>
      </c>
      <c r="AD33" s="4">
        <v>26509</v>
      </c>
      <c r="AE33" s="4">
        <v>27517</v>
      </c>
      <c r="AF33" s="4">
        <v>28321</v>
      </c>
      <c r="AG33" s="4">
        <v>27121</v>
      </c>
      <c r="AH33" s="4">
        <v>28875</v>
      </c>
      <c r="AI33" s="4">
        <v>34415</v>
      </c>
      <c r="AJ33" s="4">
        <v>33228</v>
      </c>
      <c r="AK33" s="4">
        <v>34897</v>
      </c>
      <c r="AL33" s="4">
        <v>38242</v>
      </c>
      <c r="AM33" s="4">
        <v>41689</v>
      </c>
      <c r="AN33" s="4">
        <v>40330</v>
      </c>
      <c r="AO33" s="4">
        <v>39159</v>
      </c>
      <c r="AP33" s="4">
        <v>43269</v>
      </c>
      <c r="AQ33" s="4">
        <v>49171</v>
      </c>
      <c r="AR33" s="4">
        <v>52925</v>
      </c>
      <c r="AS33" s="4">
        <v>54345</v>
      </c>
      <c r="AT33" s="4">
        <v>59769</v>
      </c>
      <c r="AU33" s="4">
        <v>60087</v>
      </c>
      <c r="AV33" s="4">
        <v>61998</v>
      </c>
      <c r="AW33" s="4">
        <v>63761</v>
      </c>
      <c r="AX33" s="4">
        <v>64968</v>
      </c>
      <c r="AY33" s="4">
        <v>68710</v>
      </c>
      <c r="AZ33" s="4">
        <v>67721</v>
      </c>
      <c r="BA33" s="4">
        <v>71782</v>
      </c>
      <c r="BB33" s="4">
        <v>74436</v>
      </c>
      <c r="BC33" s="4">
        <v>78207</v>
      </c>
      <c r="BD33" s="4">
        <v>83751</v>
      </c>
      <c r="BE33" s="4">
        <v>85257</v>
      </c>
      <c r="BF33" s="4">
        <v>88440</v>
      </c>
      <c r="BG33" s="4">
        <v>101034</v>
      </c>
      <c r="BH33" s="4">
        <v>104648</v>
      </c>
      <c r="BI33" s="4">
        <v>113524</v>
      </c>
      <c r="BJ33" s="4">
        <v>118787</v>
      </c>
    </row>
    <row r="34" spans="2:62" x14ac:dyDescent="0.2">
      <c r="C34" s="3" t="s">
        <v>93</v>
      </c>
      <c r="D34" s="4">
        <v>296</v>
      </c>
      <c r="E34" s="4">
        <v>337</v>
      </c>
      <c r="F34" s="4">
        <v>385</v>
      </c>
      <c r="G34" s="4">
        <v>440</v>
      </c>
      <c r="H34" s="4">
        <v>528</v>
      </c>
      <c r="I34" s="4">
        <v>627</v>
      </c>
      <c r="J34" s="4">
        <v>713</v>
      </c>
      <c r="K34" s="4">
        <v>814</v>
      </c>
      <c r="L34" s="4">
        <v>976</v>
      </c>
      <c r="M34" s="4">
        <v>1135</v>
      </c>
      <c r="N34" s="4">
        <v>1261</v>
      </c>
      <c r="O34" s="4">
        <v>1390</v>
      </c>
      <c r="P34" s="4">
        <v>1558</v>
      </c>
      <c r="Q34" s="4">
        <v>1739</v>
      </c>
      <c r="R34" s="4">
        <v>1943</v>
      </c>
      <c r="S34" s="4">
        <v>2233</v>
      </c>
      <c r="T34" s="4">
        <v>2538</v>
      </c>
      <c r="U34" s="4">
        <v>2708</v>
      </c>
      <c r="V34" s="4">
        <v>2844</v>
      </c>
      <c r="W34" s="4">
        <v>2938</v>
      </c>
      <c r="X34" s="4">
        <v>3068</v>
      </c>
      <c r="Y34" s="4">
        <v>3313</v>
      </c>
      <c r="Z34" s="4">
        <v>3611</v>
      </c>
      <c r="AA34" s="4">
        <v>3803</v>
      </c>
      <c r="AB34" s="4">
        <v>3983</v>
      </c>
      <c r="AC34" s="4">
        <v>4298</v>
      </c>
      <c r="AD34" s="4">
        <v>4036</v>
      </c>
      <c r="AE34" s="4">
        <v>3542</v>
      </c>
      <c r="AF34" s="4">
        <v>4078</v>
      </c>
      <c r="AG34" s="4">
        <v>4028</v>
      </c>
      <c r="AH34" s="4">
        <v>3941</v>
      </c>
      <c r="AI34" s="4">
        <v>4306</v>
      </c>
      <c r="AJ34" s="4">
        <v>4531</v>
      </c>
      <c r="AK34" s="4">
        <v>4917</v>
      </c>
      <c r="AL34" s="4">
        <v>5215</v>
      </c>
      <c r="AM34" s="4">
        <v>5205</v>
      </c>
      <c r="AN34" s="4">
        <v>5437</v>
      </c>
      <c r="AO34" s="4">
        <v>6200</v>
      </c>
      <c r="AP34" s="4">
        <v>5700</v>
      </c>
      <c r="AQ34" s="4">
        <v>6433</v>
      </c>
      <c r="AR34" s="4">
        <v>6725</v>
      </c>
      <c r="AS34" s="4">
        <v>7008</v>
      </c>
      <c r="AT34" s="4">
        <v>11788</v>
      </c>
      <c r="AU34" s="4">
        <v>13274</v>
      </c>
      <c r="AV34" s="4">
        <v>12936</v>
      </c>
      <c r="AW34" s="4">
        <v>9544</v>
      </c>
      <c r="AX34" s="4">
        <v>8135</v>
      </c>
      <c r="AY34" s="4">
        <v>9878</v>
      </c>
      <c r="AZ34" s="4">
        <v>11836</v>
      </c>
      <c r="BA34" s="4">
        <v>12750</v>
      </c>
      <c r="BB34" s="4">
        <v>25060</v>
      </c>
      <c r="BC34" s="4">
        <v>23077</v>
      </c>
      <c r="BD34" s="4">
        <v>24403</v>
      </c>
      <c r="BE34" s="4">
        <v>25193</v>
      </c>
      <c r="BF34" s="4">
        <v>26048</v>
      </c>
      <c r="BG34" s="4">
        <v>32868</v>
      </c>
      <c r="BH34" s="4">
        <v>25383</v>
      </c>
      <c r="BI34" s="4">
        <v>29480</v>
      </c>
      <c r="BJ34" s="4">
        <v>34103</v>
      </c>
    </row>
    <row r="35" spans="2:62" x14ac:dyDescent="0.2">
      <c r="C35" s="3" t="s">
        <v>94</v>
      </c>
      <c r="D35" s="4">
        <v>277</v>
      </c>
      <c r="E35" s="4">
        <v>296</v>
      </c>
      <c r="F35" s="4">
        <v>356</v>
      </c>
      <c r="G35" s="4">
        <v>404</v>
      </c>
      <c r="H35" s="4">
        <v>459</v>
      </c>
      <c r="I35" s="4">
        <v>517</v>
      </c>
      <c r="J35" s="4">
        <v>585</v>
      </c>
      <c r="K35" s="4">
        <v>632</v>
      </c>
      <c r="L35" s="4">
        <v>703</v>
      </c>
      <c r="M35" s="4">
        <v>806</v>
      </c>
      <c r="N35" s="4">
        <v>966</v>
      </c>
      <c r="O35" s="4">
        <v>1161</v>
      </c>
      <c r="P35" s="4">
        <v>1328</v>
      </c>
      <c r="Q35" s="4">
        <v>1599</v>
      </c>
      <c r="R35" s="4">
        <v>1720</v>
      </c>
      <c r="S35" s="4">
        <v>1877</v>
      </c>
      <c r="T35" s="4">
        <v>2339</v>
      </c>
      <c r="U35" s="4">
        <v>2539</v>
      </c>
      <c r="V35" s="4">
        <v>2770</v>
      </c>
      <c r="W35" s="4">
        <v>3319</v>
      </c>
      <c r="X35" s="4">
        <v>3755</v>
      </c>
      <c r="Y35" s="4">
        <v>4278</v>
      </c>
      <c r="Z35" s="4">
        <v>5106</v>
      </c>
      <c r="AA35" s="4">
        <v>5594</v>
      </c>
      <c r="AB35" s="4">
        <v>5435</v>
      </c>
      <c r="AC35" s="4">
        <v>5910</v>
      </c>
      <c r="AD35" s="4">
        <v>6986</v>
      </c>
      <c r="AE35" s="4">
        <v>6418</v>
      </c>
      <c r="AF35" s="4">
        <v>6474</v>
      </c>
      <c r="AG35" s="4">
        <v>7296</v>
      </c>
      <c r="AH35" s="4">
        <v>7843</v>
      </c>
      <c r="AI35" s="4">
        <v>8159</v>
      </c>
      <c r="AJ35" s="4">
        <v>9117</v>
      </c>
      <c r="AK35" s="4">
        <v>10324</v>
      </c>
      <c r="AL35" s="4">
        <v>10689</v>
      </c>
      <c r="AM35" s="4">
        <v>11233</v>
      </c>
      <c r="AN35" s="4">
        <v>10886</v>
      </c>
      <c r="AO35" s="4">
        <v>11064</v>
      </c>
      <c r="AP35" s="4">
        <v>12217</v>
      </c>
      <c r="AQ35" s="4">
        <v>13367</v>
      </c>
      <c r="AR35" s="4">
        <v>14126</v>
      </c>
      <c r="AS35" s="4">
        <v>13195</v>
      </c>
      <c r="AT35" s="4">
        <v>15112</v>
      </c>
      <c r="AU35" s="4">
        <v>13688</v>
      </c>
      <c r="AV35" s="4">
        <v>12972</v>
      </c>
      <c r="AW35" s="4">
        <v>13257</v>
      </c>
      <c r="AX35" s="4">
        <v>12615</v>
      </c>
      <c r="AY35" s="4">
        <v>12986</v>
      </c>
      <c r="AZ35" s="4">
        <v>13416</v>
      </c>
      <c r="BA35" s="4">
        <v>14586</v>
      </c>
      <c r="BB35" s="4">
        <v>15465</v>
      </c>
      <c r="BC35" s="4">
        <v>17583</v>
      </c>
      <c r="BD35" s="4">
        <v>18120</v>
      </c>
      <c r="BE35" s="4">
        <v>19811</v>
      </c>
      <c r="BF35" s="4">
        <v>18960</v>
      </c>
      <c r="BG35" s="4">
        <v>22841</v>
      </c>
      <c r="BH35" s="4">
        <v>22336</v>
      </c>
      <c r="BI35" s="4">
        <v>24634</v>
      </c>
      <c r="BJ35" s="4">
        <v>25808</v>
      </c>
    </row>
    <row r="36" spans="2:62" x14ac:dyDescent="0.2">
      <c r="C36" s="3" t="s">
        <v>95</v>
      </c>
      <c r="D36" s="4">
        <v>610</v>
      </c>
      <c r="E36" s="4">
        <v>707</v>
      </c>
      <c r="F36" s="4">
        <v>778</v>
      </c>
      <c r="G36" s="4">
        <v>803</v>
      </c>
      <c r="H36" s="4">
        <v>954</v>
      </c>
      <c r="I36" s="4">
        <v>1201</v>
      </c>
      <c r="J36" s="4">
        <v>1376</v>
      </c>
      <c r="K36" s="4">
        <v>1552</v>
      </c>
      <c r="L36" s="4">
        <v>1620</v>
      </c>
      <c r="M36" s="4">
        <v>2001</v>
      </c>
      <c r="N36" s="4">
        <v>2311</v>
      </c>
      <c r="O36" s="4">
        <v>2597</v>
      </c>
      <c r="P36" s="4">
        <v>3085</v>
      </c>
      <c r="Q36" s="4">
        <v>3661</v>
      </c>
      <c r="R36" s="4">
        <v>3739</v>
      </c>
      <c r="S36" s="4">
        <v>4000</v>
      </c>
      <c r="T36" s="4">
        <v>3949</v>
      </c>
      <c r="U36" s="4">
        <v>4585</v>
      </c>
      <c r="V36" s="4">
        <v>5136</v>
      </c>
      <c r="W36" s="4">
        <v>5469</v>
      </c>
      <c r="X36" s="4">
        <v>6686</v>
      </c>
      <c r="Y36" s="4">
        <v>7751</v>
      </c>
      <c r="Z36" s="4">
        <v>8428</v>
      </c>
      <c r="AA36" s="4">
        <v>9622</v>
      </c>
      <c r="AB36" s="4">
        <v>10059</v>
      </c>
      <c r="AC36" s="4">
        <v>10592</v>
      </c>
      <c r="AD36" s="4">
        <v>9674</v>
      </c>
      <c r="AE36" s="4">
        <v>13058</v>
      </c>
      <c r="AF36" s="4">
        <v>16701</v>
      </c>
      <c r="AG36" s="4">
        <v>17103</v>
      </c>
      <c r="AH36" s="4">
        <v>17891</v>
      </c>
      <c r="AI36" s="4">
        <v>18162</v>
      </c>
      <c r="AJ36" s="4">
        <v>20001</v>
      </c>
      <c r="AK36" s="4">
        <v>21613</v>
      </c>
      <c r="AL36" s="4">
        <v>24201</v>
      </c>
      <c r="AM36" s="4">
        <v>25449</v>
      </c>
      <c r="AN36" s="4">
        <v>27572</v>
      </c>
      <c r="AO36" s="4">
        <v>29290</v>
      </c>
      <c r="AP36" s="4">
        <v>32291</v>
      </c>
      <c r="AQ36" s="4">
        <v>36547</v>
      </c>
      <c r="AR36" s="4">
        <v>38328</v>
      </c>
      <c r="AS36" s="4">
        <v>41882</v>
      </c>
      <c r="AT36" s="4">
        <v>42179</v>
      </c>
      <c r="AU36" s="4">
        <v>39419</v>
      </c>
      <c r="AV36" s="4">
        <v>39742</v>
      </c>
      <c r="AW36" s="4">
        <v>42988</v>
      </c>
      <c r="AX36" s="4">
        <v>45496</v>
      </c>
      <c r="AY36" s="4">
        <v>48566</v>
      </c>
      <c r="AZ36" s="4">
        <v>50448</v>
      </c>
      <c r="BA36" s="4">
        <v>56448</v>
      </c>
      <c r="BB36" s="4">
        <v>59659</v>
      </c>
      <c r="BC36" s="4">
        <v>61433</v>
      </c>
      <c r="BD36" s="4">
        <v>63861</v>
      </c>
      <c r="BE36" s="4">
        <v>62192</v>
      </c>
      <c r="BF36" s="4">
        <v>58247</v>
      </c>
      <c r="BG36" s="4">
        <v>67858</v>
      </c>
      <c r="BH36" s="4">
        <v>69971</v>
      </c>
      <c r="BI36" s="4">
        <v>73843</v>
      </c>
      <c r="BJ36" s="4">
        <v>77466</v>
      </c>
    </row>
    <row r="37" spans="2:62" x14ac:dyDescent="0.2">
      <c r="C37" s="3" t="s">
        <v>96</v>
      </c>
      <c r="D37" s="4">
        <v>3842</v>
      </c>
      <c r="E37" s="4">
        <v>4462</v>
      </c>
      <c r="F37" s="4">
        <v>5161</v>
      </c>
      <c r="G37" s="4">
        <v>6076</v>
      </c>
      <c r="H37" s="4">
        <v>7301</v>
      </c>
      <c r="I37" s="4">
        <v>8542</v>
      </c>
      <c r="J37" s="4">
        <v>9505</v>
      </c>
      <c r="K37" s="4">
        <v>10737</v>
      </c>
      <c r="L37" s="4">
        <v>12642</v>
      </c>
      <c r="M37" s="4">
        <v>14946</v>
      </c>
      <c r="N37" s="4">
        <v>16954</v>
      </c>
      <c r="O37" s="4">
        <v>18632</v>
      </c>
      <c r="P37" s="4">
        <v>21009</v>
      </c>
      <c r="Q37" s="4">
        <v>23716</v>
      </c>
      <c r="R37" s="4">
        <v>26843</v>
      </c>
      <c r="S37" s="4">
        <v>30996</v>
      </c>
      <c r="T37" s="4">
        <v>35964</v>
      </c>
      <c r="U37" s="4">
        <v>39125</v>
      </c>
      <c r="V37" s="4">
        <v>41201</v>
      </c>
      <c r="W37" s="4">
        <v>43084</v>
      </c>
      <c r="X37" s="4">
        <v>42959</v>
      </c>
      <c r="Y37" s="4">
        <v>46599</v>
      </c>
      <c r="Z37" s="4">
        <v>49011</v>
      </c>
      <c r="AA37" s="4">
        <v>51665</v>
      </c>
      <c r="AB37" s="4">
        <v>52288</v>
      </c>
      <c r="AC37" s="4">
        <v>54160</v>
      </c>
      <c r="AD37" s="4">
        <v>56966</v>
      </c>
      <c r="AE37" s="4">
        <v>58440</v>
      </c>
      <c r="AF37" s="4">
        <v>57682</v>
      </c>
      <c r="AG37" s="4">
        <v>58666</v>
      </c>
      <c r="AH37" s="4">
        <v>60717</v>
      </c>
      <c r="AI37" s="4">
        <v>64009</v>
      </c>
      <c r="AJ37" s="4">
        <v>65659</v>
      </c>
      <c r="AK37" s="4">
        <v>68524</v>
      </c>
      <c r="AL37" s="4">
        <v>69165</v>
      </c>
      <c r="AM37" s="4">
        <v>71892</v>
      </c>
      <c r="AN37" s="4">
        <v>74313</v>
      </c>
      <c r="AO37" s="4">
        <v>75016</v>
      </c>
      <c r="AP37" s="4">
        <v>77520</v>
      </c>
      <c r="AQ37" s="4">
        <v>79219</v>
      </c>
      <c r="AR37" s="4">
        <v>81666</v>
      </c>
      <c r="AS37" s="4">
        <v>82203</v>
      </c>
      <c r="AT37" s="4">
        <v>87169</v>
      </c>
      <c r="AU37" s="4">
        <v>90750</v>
      </c>
      <c r="AV37" s="4">
        <v>93902</v>
      </c>
      <c r="AW37" s="4">
        <v>92140</v>
      </c>
      <c r="AX37" s="4">
        <v>93604</v>
      </c>
      <c r="AY37" s="4">
        <v>92099</v>
      </c>
      <c r="AZ37" s="4">
        <v>91573</v>
      </c>
      <c r="BA37" s="4">
        <v>92758</v>
      </c>
      <c r="BB37" s="4">
        <v>92420</v>
      </c>
      <c r="BC37" s="4">
        <v>93065</v>
      </c>
      <c r="BD37" s="4">
        <v>95071</v>
      </c>
      <c r="BE37" s="4">
        <v>98547</v>
      </c>
      <c r="BF37" s="4">
        <v>101081</v>
      </c>
      <c r="BG37" s="4">
        <v>107789</v>
      </c>
      <c r="BH37" s="4">
        <v>110178</v>
      </c>
      <c r="BI37" s="4">
        <v>114332</v>
      </c>
      <c r="BJ37" s="4">
        <v>121725</v>
      </c>
    </row>
    <row r="38" spans="2:62" x14ac:dyDescent="0.2">
      <c r="C38" s="3" t="s">
        <v>97</v>
      </c>
      <c r="D38" s="4">
        <v>3240</v>
      </c>
      <c r="E38" s="4">
        <v>3775</v>
      </c>
      <c r="F38" s="4">
        <v>4329</v>
      </c>
      <c r="G38" s="4">
        <v>5056</v>
      </c>
      <c r="H38" s="4">
        <v>6007</v>
      </c>
      <c r="I38" s="4">
        <v>6938</v>
      </c>
      <c r="J38" s="4">
        <v>7886</v>
      </c>
      <c r="K38" s="4">
        <v>8824</v>
      </c>
      <c r="L38" s="4">
        <v>10364</v>
      </c>
      <c r="M38" s="4">
        <v>12363</v>
      </c>
      <c r="N38" s="4">
        <v>14039</v>
      </c>
      <c r="O38" s="4">
        <v>15340</v>
      </c>
      <c r="P38" s="4">
        <v>17017</v>
      </c>
      <c r="Q38" s="4">
        <v>19016</v>
      </c>
      <c r="R38" s="4">
        <v>21414</v>
      </c>
      <c r="S38" s="4">
        <v>24203</v>
      </c>
      <c r="T38" s="4">
        <v>27418</v>
      </c>
      <c r="U38" s="4">
        <v>29374</v>
      </c>
      <c r="V38" s="4">
        <v>31116</v>
      </c>
      <c r="W38" s="4">
        <v>32138</v>
      </c>
      <c r="X38" s="4">
        <v>33459</v>
      </c>
      <c r="Y38" s="4">
        <v>37331</v>
      </c>
      <c r="Z38" s="4">
        <v>40301</v>
      </c>
      <c r="AA38" s="4">
        <v>42035</v>
      </c>
      <c r="AB38" s="4">
        <v>41949</v>
      </c>
      <c r="AC38" s="4">
        <v>44911</v>
      </c>
      <c r="AD38" s="4">
        <v>46634</v>
      </c>
      <c r="AE38" s="4">
        <v>48421</v>
      </c>
      <c r="AF38" s="4">
        <v>51353</v>
      </c>
      <c r="AG38" s="4">
        <v>52167</v>
      </c>
      <c r="AH38" s="4">
        <v>54626</v>
      </c>
      <c r="AI38" s="4">
        <v>56586</v>
      </c>
      <c r="AJ38" s="4">
        <v>60092</v>
      </c>
      <c r="AK38" s="4">
        <v>63054</v>
      </c>
      <c r="AL38" s="4">
        <v>66120</v>
      </c>
      <c r="AM38" s="4">
        <v>69212</v>
      </c>
      <c r="AN38" s="4">
        <v>73161</v>
      </c>
      <c r="AO38" s="4">
        <v>74779</v>
      </c>
      <c r="AP38" s="4">
        <v>78392</v>
      </c>
      <c r="AQ38" s="4">
        <v>79977</v>
      </c>
      <c r="AR38" s="4">
        <v>83504</v>
      </c>
      <c r="AS38" s="4">
        <v>84974</v>
      </c>
      <c r="AT38" s="4">
        <v>91857</v>
      </c>
      <c r="AU38" s="4">
        <v>97268</v>
      </c>
      <c r="AV38" s="4">
        <v>101614</v>
      </c>
      <c r="AW38" s="4">
        <v>102253</v>
      </c>
      <c r="AX38" s="4">
        <v>105624</v>
      </c>
      <c r="AY38" s="4">
        <v>106286</v>
      </c>
      <c r="AZ38" s="4">
        <v>112364</v>
      </c>
      <c r="BA38" s="4">
        <v>115066</v>
      </c>
      <c r="BB38" s="4">
        <v>116899</v>
      </c>
      <c r="BC38" s="4">
        <v>117390</v>
      </c>
      <c r="BD38" s="4">
        <v>119699</v>
      </c>
      <c r="BE38" s="4">
        <v>121614</v>
      </c>
      <c r="BF38" s="4">
        <v>121956</v>
      </c>
      <c r="BG38" s="4">
        <v>125366</v>
      </c>
      <c r="BH38" s="4">
        <v>128133</v>
      </c>
      <c r="BI38" s="4">
        <v>131806</v>
      </c>
      <c r="BJ38" s="4">
        <v>138694</v>
      </c>
    </row>
    <row r="39" spans="2:62" x14ac:dyDescent="0.2">
      <c r="C39" s="3" t="s">
        <v>98</v>
      </c>
      <c r="D39" s="4">
        <v>2640</v>
      </c>
      <c r="E39" s="4">
        <v>3045</v>
      </c>
      <c r="F39" s="4">
        <v>3481</v>
      </c>
      <c r="G39" s="4">
        <v>4039</v>
      </c>
      <c r="H39" s="4">
        <v>4902</v>
      </c>
      <c r="I39" s="4">
        <v>5818</v>
      </c>
      <c r="J39" s="4">
        <v>6704</v>
      </c>
      <c r="K39" s="4">
        <v>7426</v>
      </c>
      <c r="L39" s="4">
        <v>9212</v>
      </c>
      <c r="M39" s="4">
        <v>10634</v>
      </c>
      <c r="N39" s="4">
        <v>11882</v>
      </c>
      <c r="O39" s="4">
        <v>12454</v>
      </c>
      <c r="P39" s="4">
        <v>13762</v>
      </c>
      <c r="Q39" s="4">
        <v>15203</v>
      </c>
      <c r="R39" s="4">
        <v>16812</v>
      </c>
      <c r="S39" s="4">
        <v>18722</v>
      </c>
      <c r="T39" s="4">
        <v>22168</v>
      </c>
      <c r="U39" s="4">
        <v>23496</v>
      </c>
      <c r="V39" s="4">
        <v>23576</v>
      </c>
      <c r="W39" s="4">
        <v>25119</v>
      </c>
      <c r="X39" s="4">
        <v>25207</v>
      </c>
      <c r="Y39" s="4">
        <v>26853</v>
      </c>
      <c r="Z39" s="4">
        <v>31013</v>
      </c>
      <c r="AA39" s="4">
        <v>31582</v>
      </c>
      <c r="AB39" s="4">
        <v>33357</v>
      </c>
      <c r="AC39" s="4">
        <v>34914</v>
      </c>
      <c r="AD39" s="4">
        <v>35711</v>
      </c>
      <c r="AE39" s="4">
        <v>36609</v>
      </c>
      <c r="AF39" s="4">
        <v>37453</v>
      </c>
      <c r="AG39" s="4">
        <v>37710</v>
      </c>
      <c r="AH39" s="4">
        <v>39474</v>
      </c>
      <c r="AI39" s="4">
        <v>40892</v>
      </c>
      <c r="AJ39" s="4">
        <v>43211</v>
      </c>
      <c r="AK39" s="4">
        <v>45984</v>
      </c>
      <c r="AL39" s="4">
        <v>47878</v>
      </c>
      <c r="AM39" s="4">
        <v>50544</v>
      </c>
      <c r="AN39" s="4">
        <v>52855</v>
      </c>
      <c r="AO39" s="4">
        <v>55680</v>
      </c>
      <c r="AP39" s="4">
        <v>58430</v>
      </c>
      <c r="AQ39" s="4">
        <v>60661</v>
      </c>
      <c r="AR39" s="4">
        <v>63929</v>
      </c>
      <c r="AS39" s="4">
        <v>68260</v>
      </c>
      <c r="AT39" s="4">
        <v>73070</v>
      </c>
      <c r="AU39" s="4">
        <v>80235</v>
      </c>
      <c r="AV39" s="4">
        <v>83089</v>
      </c>
      <c r="AW39" s="4">
        <v>83555</v>
      </c>
      <c r="AX39" s="4">
        <v>85421</v>
      </c>
      <c r="AY39" s="4">
        <v>87392</v>
      </c>
      <c r="AZ39" s="4">
        <v>89150</v>
      </c>
      <c r="BA39" s="4">
        <v>91411</v>
      </c>
      <c r="BB39" s="4">
        <v>93006</v>
      </c>
      <c r="BC39" s="4">
        <v>95643</v>
      </c>
      <c r="BD39" s="4">
        <v>98596</v>
      </c>
      <c r="BE39" s="4">
        <v>100890</v>
      </c>
      <c r="BF39" s="4">
        <v>103717</v>
      </c>
      <c r="BG39" s="4">
        <v>114014</v>
      </c>
      <c r="BH39" s="4">
        <v>116846</v>
      </c>
      <c r="BI39" s="4">
        <v>117954</v>
      </c>
      <c r="BJ39" s="4">
        <v>123903</v>
      </c>
    </row>
    <row r="40" spans="2:62" x14ac:dyDescent="0.2">
      <c r="C40" s="3" t="s">
        <v>99</v>
      </c>
      <c r="D40" s="4">
        <v>1819</v>
      </c>
      <c r="E40" s="4">
        <v>2126</v>
      </c>
      <c r="F40" s="4">
        <v>2448</v>
      </c>
      <c r="G40" s="4">
        <v>2868</v>
      </c>
      <c r="H40" s="4">
        <v>3415</v>
      </c>
      <c r="I40" s="4">
        <v>3977</v>
      </c>
      <c r="J40" s="4">
        <v>4830</v>
      </c>
      <c r="K40" s="4">
        <v>6016</v>
      </c>
      <c r="L40" s="4">
        <v>7274</v>
      </c>
      <c r="M40" s="4">
        <v>8451</v>
      </c>
      <c r="N40" s="4">
        <v>9953</v>
      </c>
      <c r="O40" s="4">
        <v>11354</v>
      </c>
      <c r="P40" s="4">
        <v>13472</v>
      </c>
      <c r="Q40" s="4">
        <v>15778</v>
      </c>
      <c r="R40" s="4">
        <v>17993</v>
      </c>
      <c r="S40" s="4">
        <v>21056</v>
      </c>
      <c r="T40" s="4">
        <v>24673</v>
      </c>
      <c r="U40" s="4">
        <v>26685</v>
      </c>
      <c r="V40" s="4">
        <v>27989</v>
      </c>
      <c r="W40" s="4">
        <v>30314</v>
      </c>
      <c r="X40" s="4">
        <v>31916</v>
      </c>
      <c r="Y40" s="4">
        <v>35419</v>
      </c>
      <c r="Z40" s="4">
        <v>38131</v>
      </c>
      <c r="AA40" s="4">
        <v>40267</v>
      </c>
      <c r="AB40" s="4">
        <v>41264</v>
      </c>
      <c r="AC40" s="4">
        <v>42568</v>
      </c>
      <c r="AD40" s="4">
        <v>45109</v>
      </c>
      <c r="AE40" s="4">
        <v>47392</v>
      </c>
      <c r="AF40" s="4">
        <v>49667</v>
      </c>
      <c r="AG40" s="4">
        <v>51980</v>
      </c>
      <c r="AH40" s="4">
        <v>55375</v>
      </c>
      <c r="AI40" s="4">
        <v>58316</v>
      </c>
      <c r="AJ40" s="4">
        <v>62215</v>
      </c>
      <c r="AK40" s="4">
        <v>63972</v>
      </c>
      <c r="AL40" s="4">
        <v>66795</v>
      </c>
      <c r="AM40" s="4">
        <v>70554</v>
      </c>
      <c r="AN40" s="4">
        <v>73156</v>
      </c>
      <c r="AO40" s="4">
        <v>75380</v>
      </c>
      <c r="AP40" s="4">
        <v>77085</v>
      </c>
      <c r="AQ40" s="4">
        <v>78511</v>
      </c>
      <c r="AR40" s="4">
        <v>82824</v>
      </c>
      <c r="AS40" s="4">
        <v>83834</v>
      </c>
      <c r="AT40" s="4">
        <v>88015</v>
      </c>
      <c r="AU40" s="4">
        <v>93763</v>
      </c>
      <c r="AV40" s="4">
        <v>96569</v>
      </c>
      <c r="AW40" s="4">
        <v>94085</v>
      </c>
      <c r="AX40" s="4">
        <v>94778</v>
      </c>
      <c r="AY40" s="4">
        <v>96309</v>
      </c>
      <c r="AZ40" s="4">
        <v>95807</v>
      </c>
      <c r="BA40" s="4">
        <v>96256</v>
      </c>
      <c r="BB40" s="4">
        <v>96872</v>
      </c>
      <c r="BC40" s="4">
        <v>98806</v>
      </c>
      <c r="BD40" s="4">
        <v>101204</v>
      </c>
      <c r="BE40" s="4">
        <v>103654</v>
      </c>
      <c r="BF40" s="4">
        <v>105768</v>
      </c>
      <c r="BG40" s="4">
        <v>109379</v>
      </c>
      <c r="BH40" s="4">
        <v>113906</v>
      </c>
      <c r="BI40" s="4">
        <v>118308</v>
      </c>
      <c r="BJ40" s="4">
        <v>124653</v>
      </c>
    </row>
    <row r="41" spans="2:62" x14ac:dyDescent="0.2">
      <c r="C41" s="3" t="s">
        <v>100</v>
      </c>
      <c r="D41" s="4">
        <v>808</v>
      </c>
      <c r="E41" s="4">
        <v>908</v>
      </c>
      <c r="F41" s="4">
        <v>1000</v>
      </c>
      <c r="G41" s="4">
        <v>1118</v>
      </c>
      <c r="H41" s="4">
        <v>1272</v>
      </c>
      <c r="I41" s="4">
        <v>1454</v>
      </c>
      <c r="J41" s="4">
        <v>1608</v>
      </c>
      <c r="K41" s="4">
        <v>1834</v>
      </c>
      <c r="L41" s="4">
        <v>2167</v>
      </c>
      <c r="M41" s="4">
        <v>2542</v>
      </c>
      <c r="N41" s="4">
        <v>2874</v>
      </c>
      <c r="O41" s="4">
        <v>3293</v>
      </c>
      <c r="P41" s="4">
        <v>3649</v>
      </c>
      <c r="Q41" s="4">
        <v>4084</v>
      </c>
      <c r="R41" s="4">
        <v>4523</v>
      </c>
      <c r="S41" s="4">
        <v>5368</v>
      </c>
      <c r="T41" s="4">
        <v>5885</v>
      </c>
      <c r="U41" s="4">
        <v>6427</v>
      </c>
      <c r="V41" s="4">
        <v>7010</v>
      </c>
      <c r="W41" s="4">
        <v>7503</v>
      </c>
      <c r="X41" s="4">
        <v>7842</v>
      </c>
      <c r="Y41" s="4">
        <v>8389</v>
      </c>
      <c r="Z41" s="4">
        <v>9012</v>
      </c>
      <c r="AA41" s="4">
        <v>10303</v>
      </c>
      <c r="AB41" s="4">
        <v>11573</v>
      </c>
      <c r="AC41" s="4">
        <v>12217</v>
      </c>
      <c r="AD41" s="4">
        <v>12910</v>
      </c>
      <c r="AE41" s="4">
        <v>13005</v>
      </c>
      <c r="AF41" s="4">
        <v>13824</v>
      </c>
      <c r="AG41" s="4">
        <v>14257</v>
      </c>
      <c r="AH41" s="4">
        <v>14713</v>
      </c>
      <c r="AI41" s="4">
        <v>15052</v>
      </c>
      <c r="AJ41" s="4">
        <v>15697</v>
      </c>
      <c r="AK41" s="4">
        <v>16445</v>
      </c>
      <c r="AL41" s="4">
        <v>16874</v>
      </c>
      <c r="AM41" s="4">
        <v>18423</v>
      </c>
      <c r="AN41" s="4">
        <v>18620</v>
      </c>
      <c r="AO41" s="4">
        <v>18454</v>
      </c>
      <c r="AP41" s="4">
        <v>19219</v>
      </c>
      <c r="AQ41" s="4">
        <v>20023</v>
      </c>
      <c r="AR41" s="4">
        <v>21277</v>
      </c>
      <c r="AS41" s="4">
        <v>21473</v>
      </c>
      <c r="AT41" s="4">
        <v>23668</v>
      </c>
      <c r="AU41" s="4">
        <v>23519</v>
      </c>
      <c r="AV41" s="4">
        <v>23752</v>
      </c>
      <c r="AW41" s="4">
        <v>24717</v>
      </c>
      <c r="AX41" s="4">
        <v>25033</v>
      </c>
      <c r="AY41" s="4">
        <v>25747</v>
      </c>
      <c r="AZ41" s="4">
        <v>26372</v>
      </c>
      <c r="BA41" s="4">
        <v>26517</v>
      </c>
      <c r="BB41" s="4">
        <v>27335</v>
      </c>
      <c r="BC41" s="4">
        <v>28675</v>
      </c>
      <c r="BD41" s="4">
        <v>28480</v>
      </c>
      <c r="BE41" s="4">
        <v>29186</v>
      </c>
      <c r="BF41" s="4">
        <v>28372</v>
      </c>
      <c r="BG41" s="4">
        <v>28512</v>
      </c>
      <c r="BH41" s="4">
        <v>30403</v>
      </c>
      <c r="BI41" s="4">
        <v>34724</v>
      </c>
      <c r="BJ41" s="4">
        <v>37547</v>
      </c>
    </row>
    <row r="42" spans="2:62" x14ac:dyDescent="0.2">
      <c r="C42" s="3" t="s">
        <v>101</v>
      </c>
      <c r="D42" s="4">
        <v>1277</v>
      </c>
      <c r="E42" s="4">
        <v>1369</v>
      </c>
      <c r="F42" s="4">
        <v>1507</v>
      </c>
      <c r="G42" s="4">
        <v>1571</v>
      </c>
      <c r="H42" s="4">
        <v>1616</v>
      </c>
      <c r="I42" s="4">
        <v>1870</v>
      </c>
      <c r="J42" s="4">
        <v>2072</v>
      </c>
      <c r="K42" s="4">
        <v>2325</v>
      </c>
      <c r="L42" s="4">
        <v>2675</v>
      </c>
      <c r="M42" s="4">
        <v>3035</v>
      </c>
      <c r="N42" s="4">
        <v>3463</v>
      </c>
      <c r="O42" s="4">
        <v>3942</v>
      </c>
      <c r="P42" s="4">
        <v>4531</v>
      </c>
      <c r="Q42" s="4">
        <v>5061</v>
      </c>
      <c r="R42" s="4">
        <v>5659</v>
      </c>
      <c r="S42" s="4">
        <v>6284</v>
      </c>
      <c r="T42" s="4">
        <v>7177</v>
      </c>
      <c r="U42" s="4">
        <v>7957</v>
      </c>
      <c r="V42" s="4">
        <v>8685</v>
      </c>
      <c r="W42" s="4">
        <v>9480</v>
      </c>
      <c r="X42" s="4">
        <v>10338</v>
      </c>
      <c r="Y42" s="4">
        <v>11115</v>
      </c>
      <c r="Z42" s="4">
        <v>11165</v>
      </c>
      <c r="AA42" s="4">
        <v>8812</v>
      </c>
      <c r="AB42" s="4">
        <v>11635</v>
      </c>
      <c r="AC42" s="4">
        <v>12066</v>
      </c>
      <c r="AD42" s="4">
        <v>12026</v>
      </c>
      <c r="AE42" s="4">
        <v>14152</v>
      </c>
      <c r="AF42" s="4">
        <v>15682</v>
      </c>
      <c r="AG42" s="4">
        <v>15610</v>
      </c>
      <c r="AH42" s="4">
        <v>16440</v>
      </c>
      <c r="AI42" s="4">
        <v>16937</v>
      </c>
      <c r="AJ42" s="4">
        <v>17437</v>
      </c>
      <c r="AK42" s="4">
        <v>18392</v>
      </c>
      <c r="AL42" s="4">
        <v>19408</v>
      </c>
      <c r="AM42" s="4">
        <v>20102</v>
      </c>
      <c r="AN42" s="4">
        <v>20761</v>
      </c>
      <c r="AO42" s="4">
        <v>21712</v>
      </c>
      <c r="AP42" s="4">
        <v>22377</v>
      </c>
      <c r="AQ42" s="4">
        <v>22770</v>
      </c>
      <c r="AR42" s="4">
        <v>23332</v>
      </c>
      <c r="AS42" s="4">
        <v>23794</v>
      </c>
      <c r="AT42" s="4">
        <v>24068</v>
      </c>
      <c r="AU42" s="4">
        <v>25392</v>
      </c>
      <c r="AV42" s="4">
        <v>25989</v>
      </c>
      <c r="AW42" s="4">
        <v>26510</v>
      </c>
      <c r="AX42" s="4">
        <v>26598</v>
      </c>
      <c r="AY42" s="4">
        <v>26181</v>
      </c>
      <c r="AZ42" s="4">
        <v>26047</v>
      </c>
      <c r="BA42" s="4">
        <v>26105</v>
      </c>
      <c r="BB42" s="4">
        <v>27102</v>
      </c>
      <c r="BC42" s="4">
        <v>27976</v>
      </c>
      <c r="BD42" s="4">
        <v>28207</v>
      </c>
      <c r="BE42" s="4">
        <v>29520</v>
      </c>
      <c r="BF42" s="4">
        <v>30342</v>
      </c>
      <c r="BG42" s="4">
        <v>29327</v>
      </c>
      <c r="BH42" s="4">
        <v>32100</v>
      </c>
      <c r="BI42" s="4">
        <v>32638</v>
      </c>
      <c r="BJ42" s="4">
        <v>36226</v>
      </c>
    </row>
    <row r="43" spans="2:62" x14ac:dyDescent="0.2">
      <c r="C43" s="3" t="s">
        <v>102</v>
      </c>
      <c r="D43" s="4">
        <v>614</v>
      </c>
      <c r="E43" s="4">
        <v>611</v>
      </c>
      <c r="F43" s="4">
        <v>620</v>
      </c>
      <c r="G43" s="4">
        <v>599</v>
      </c>
      <c r="H43" s="4">
        <v>600</v>
      </c>
      <c r="I43" s="4">
        <v>613</v>
      </c>
      <c r="J43" s="4">
        <v>625</v>
      </c>
      <c r="K43" s="4">
        <v>671</v>
      </c>
      <c r="L43" s="4">
        <v>768</v>
      </c>
      <c r="M43" s="4">
        <v>853</v>
      </c>
      <c r="N43" s="4">
        <v>942</v>
      </c>
      <c r="O43" s="4">
        <v>988</v>
      </c>
      <c r="P43" s="4">
        <v>1010</v>
      </c>
      <c r="Q43" s="4">
        <v>1037</v>
      </c>
      <c r="R43" s="4">
        <v>1134</v>
      </c>
      <c r="S43" s="4">
        <v>1143</v>
      </c>
      <c r="T43" s="4">
        <v>1191</v>
      </c>
      <c r="U43" s="4">
        <v>1213</v>
      </c>
      <c r="V43" s="4">
        <v>1213</v>
      </c>
      <c r="W43" s="4">
        <v>1199</v>
      </c>
      <c r="X43" s="4">
        <v>1189</v>
      </c>
      <c r="Y43" s="4">
        <v>1258</v>
      </c>
      <c r="Z43" s="4">
        <v>1317</v>
      </c>
      <c r="AA43" s="4">
        <v>1350</v>
      </c>
      <c r="AB43" s="4">
        <v>1376</v>
      </c>
      <c r="AC43" s="4">
        <v>1407</v>
      </c>
      <c r="AD43" s="4">
        <v>1424</v>
      </c>
      <c r="AE43" s="4">
        <v>1470</v>
      </c>
      <c r="AF43" s="4">
        <v>1508</v>
      </c>
      <c r="AG43" s="4">
        <v>1551</v>
      </c>
      <c r="AH43" s="4">
        <v>1588</v>
      </c>
      <c r="AI43" s="4">
        <v>1618</v>
      </c>
      <c r="AJ43" s="4">
        <v>1544</v>
      </c>
      <c r="AK43" s="4">
        <v>1520</v>
      </c>
      <c r="AL43" s="4">
        <v>1583</v>
      </c>
      <c r="AM43" s="4">
        <v>1627</v>
      </c>
      <c r="AN43" s="4">
        <v>2069</v>
      </c>
      <c r="AO43" s="4">
        <v>2310</v>
      </c>
      <c r="AP43" s="4">
        <v>2474</v>
      </c>
      <c r="AQ43" s="4">
        <v>3031</v>
      </c>
      <c r="AR43" s="4">
        <v>3340</v>
      </c>
      <c r="AS43" s="4">
        <v>3543</v>
      </c>
      <c r="AT43" s="4">
        <v>3761</v>
      </c>
      <c r="AU43" s="4">
        <v>4116</v>
      </c>
      <c r="AV43" s="4">
        <v>4364</v>
      </c>
      <c r="AW43" s="4">
        <v>4679</v>
      </c>
      <c r="AX43" s="4">
        <v>4624</v>
      </c>
      <c r="AY43" s="4">
        <v>4898</v>
      </c>
      <c r="AZ43" s="4">
        <v>4979</v>
      </c>
      <c r="BA43" s="4">
        <v>4970</v>
      </c>
      <c r="BB43" s="4">
        <v>4983</v>
      </c>
      <c r="BC43" s="4">
        <v>5006</v>
      </c>
      <c r="BD43" s="4">
        <v>4768</v>
      </c>
      <c r="BE43" s="4">
        <v>4757</v>
      </c>
      <c r="BF43" s="4">
        <v>4850</v>
      </c>
      <c r="BG43" s="4">
        <v>4865</v>
      </c>
      <c r="BH43" s="4">
        <v>4906</v>
      </c>
      <c r="BI43" s="4">
        <v>4891</v>
      </c>
      <c r="BJ43" s="4">
        <v>4882</v>
      </c>
    </row>
    <row r="44" spans="2:62" x14ac:dyDescent="0.2">
      <c r="B44" s="3" t="s">
        <v>103</v>
      </c>
      <c r="C44" s="3" t="s">
        <v>63</v>
      </c>
      <c r="D44" s="4">
        <v>40777</v>
      </c>
      <c r="E44" s="4">
        <v>45385</v>
      </c>
      <c r="F44" s="4">
        <v>50493</v>
      </c>
      <c r="G44" s="4">
        <v>57580</v>
      </c>
      <c r="H44" s="4">
        <v>65214</v>
      </c>
      <c r="I44" s="4">
        <v>73729</v>
      </c>
      <c r="J44" s="4">
        <v>81826</v>
      </c>
      <c r="K44" s="4">
        <v>93844</v>
      </c>
      <c r="L44" s="4">
        <v>110260</v>
      </c>
      <c r="M44" s="4">
        <v>123924</v>
      </c>
      <c r="N44" s="4">
        <v>141806</v>
      </c>
      <c r="O44" s="4">
        <v>156923</v>
      </c>
      <c r="P44" s="4">
        <v>173968</v>
      </c>
      <c r="Q44" s="4">
        <v>194401</v>
      </c>
      <c r="R44" s="4">
        <v>214133</v>
      </c>
      <c r="S44" s="4">
        <v>231240</v>
      </c>
      <c r="T44" s="4">
        <v>262223</v>
      </c>
      <c r="U44" s="4">
        <v>286629</v>
      </c>
      <c r="V44" s="4">
        <v>309378</v>
      </c>
      <c r="W44" s="4">
        <v>334541</v>
      </c>
      <c r="X44" s="4">
        <v>360702</v>
      </c>
      <c r="Y44" s="4">
        <v>393322</v>
      </c>
      <c r="Z44" s="4">
        <v>414491</v>
      </c>
      <c r="AA44" s="4">
        <v>432128</v>
      </c>
      <c r="AB44" s="4">
        <v>450271</v>
      </c>
      <c r="AC44" s="4">
        <v>464902</v>
      </c>
      <c r="AD44" s="4">
        <v>478117</v>
      </c>
      <c r="AE44" s="4">
        <v>480818</v>
      </c>
      <c r="AF44" s="4">
        <v>496432</v>
      </c>
      <c r="AG44" s="4">
        <v>518701</v>
      </c>
      <c r="AH44" s="4">
        <v>546123</v>
      </c>
      <c r="AI44" s="4">
        <v>572747</v>
      </c>
      <c r="AJ44" s="4">
        <v>605624</v>
      </c>
      <c r="AK44" s="4">
        <v>635828</v>
      </c>
      <c r="AL44" s="4">
        <v>662275</v>
      </c>
      <c r="AM44" s="4">
        <v>696895</v>
      </c>
      <c r="AN44" s="4">
        <v>722152</v>
      </c>
      <c r="AO44" s="4">
        <v>741092</v>
      </c>
      <c r="AP44" s="4">
        <v>762992</v>
      </c>
      <c r="AQ44" s="4">
        <v>800004</v>
      </c>
      <c r="AR44" s="4">
        <v>847816</v>
      </c>
      <c r="AS44" s="4">
        <v>901734</v>
      </c>
      <c r="AT44" s="4">
        <v>950136</v>
      </c>
      <c r="AU44" s="4">
        <v>945958</v>
      </c>
      <c r="AV44" s="4">
        <v>953935</v>
      </c>
      <c r="AW44" s="4">
        <v>966820</v>
      </c>
      <c r="AX44" s="4">
        <v>977525</v>
      </c>
      <c r="AY44" s="4">
        <v>994228</v>
      </c>
      <c r="AZ44" s="4">
        <v>1015402</v>
      </c>
      <c r="BA44" s="4">
        <v>1046869</v>
      </c>
      <c r="BB44" s="4">
        <v>1081186</v>
      </c>
      <c r="BC44" s="4">
        <v>1116352</v>
      </c>
      <c r="BD44" s="4">
        <v>1154645</v>
      </c>
      <c r="BE44" s="4">
        <v>1193492</v>
      </c>
      <c r="BF44" s="4">
        <v>1210390</v>
      </c>
      <c r="BG44" s="4">
        <v>1278353</v>
      </c>
      <c r="BH44" s="4">
        <v>1366722</v>
      </c>
      <c r="BI44" s="4">
        <v>1431100</v>
      </c>
      <c r="BJ44" s="4">
        <v>1504820</v>
      </c>
    </row>
    <row r="45" spans="2:62" x14ac:dyDescent="0.2">
      <c r="C45" s="3" t="s">
        <v>64</v>
      </c>
      <c r="D45" s="4">
        <v>9251</v>
      </c>
      <c r="E45" s="4">
        <v>10807</v>
      </c>
      <c r="F45" s="4">
        <v>12450</v>
      </c>
      <c r="G45" s="4">
        <v>14666</v>
      </c>
      <c r="H45" s="4">
        <v>17542</v>
      </c>
      <c r="I45" s="4">
        <v>21105</v>
      </c>
      <c r="J45" s="4">
        <v>24158</v>
      </c>
      <c r="K45" s="4">
        <v>27643</v>
      </c>
      <c r="L45" s="4">
        <v>33180</v>
      </c>
      <c r="M45" s="4">
        <v>38878</v>
      </c>
      <c r="N45" s="4">
        <v>44535</v>
      </c>
      <c r="O45" s="4">
        <v>49478</v>
      </c>
      <c r="P45" s="4">
        <v>55657</v>
      </c>
      <c r="Q45" s="4">
        <v>62656</v>
      </c>
      <c r="R45" s="4">
        <v>70540</v>
      </c>
      <c r="S45" s="4">
        <v>80116</v>
      </c>
      <c r="T45" s="4">
        <v>93660</v>
      </c>
      <c r="U45" s="4">
        <v>100827</v>
      </c>
      <c r="V45" s="4">
        <v>104047</v>
      </c>
      <c r="W45" s="4">
        <v>109316</v>
      </c>
      <c r="X45" s="4">
        <v>113219</v>
      </c>
      <c r="Y45" s="4">
        <v>124064</v>
      </c>
      <c r="Z45" s="4">
        <v>134867</v>
      </c>
      <c r="AA45" s="4">
        <v>140322</v>
      </c>
      <c r="AB45" s="4">
        <v>142810</v>
      </c>
      <c r="AC45" s="4">
        <v>148359</v>
      </c>
      <c r="AD45" s="4">
        <v>153238</v>
      </c>
      <c r="AE45" s="4">
        <v>158299</v>
      </c>
      <c r="AF45" s="4">
        <v>162880</v>
      </c>
      <c r="AG45" s="4">
        <v>166571</v>
      </c>
      <c r="AH45" s="4">
        <v>174517</v>
      </c>
      <c r="AI45" s="4">
        <v>180769</v>
      </c>
      <c r="AJ45" s="4">
        <v>190214</v>
      </c>
      <c r="AK45" s="4">
        <v>199667</v>
      </c>
      <c r="AL45" s="4">
        <v>205935</v>
      </c>
      <c r="AM45" s="4">
        <v>216026</v>
      </c>
      <c r="AN45" s="4">
        <v>226161</v>
      </c>
      <c r="AO45" s="4">
        <v>234043</v>
      </c>
      <c r="AP45" s="4">
        <v>242274</v>
      </c>
      <c r="AQ45" s="4">
        <v>248254</v>
      </c>
      <c r="AR45" s="4">
        <v>258887</v>
      </c>
      <c r="AS45" s="4">
        <v>266813</v>
      </c>
      <c r="AT45" s="4">
        <v>281014</v>
      </c>
      <c r="AU45" s="4">
        <v>301586</v>
      </c>
      <c r="AV45" s="4">
        <v>313227</v>
      </c>
      <c r="AW45" s="4">
        <v>310242</v>
      </c>
      <c r="AX45" s="4">
        <v>314683</v>
      </c>
      <c r="AY45" s="4">
        <v>316870</v>
      </c>
      <c r="AZ45" s="4">
        <v>321673</v>
      </c>
      <c r="BA45" s="4">
        <v>325579</v>
      </c>
      <c r="BB45" s="4">
        <v>327343</v>
      </c>
      <c r="BC45" s="4">
        <v>332679</v>
      </c>
      <c r="BD45" s="4">
        <v>340519</v>
      </c>
      <c r="BE45" s="4">
        <v>348599</v>
      </c>
      <c r="BF45" s="4">
        <v>356477</v>
      </c>
      <c r="BG45" s="4">
        <v>373688</v>
      </c>
      <c r="BH45" s="4">
        <v>385992</v>
      </c>
      <c r="BI45" s="4">
        <v>397062</v>
      </c>
      <c r="BJ45" s="4">
        <v>418406</v>
      </c>
    </row>
    <row r="46" spans="2:62" x14ac:dyDescent="0.2">
      <c r="C46" s="3" t="s">
        <v>65</v>
      </c>
      <c r="D46" s="4">
        <v>1082</v>
      </c>
      <c r="E46" s="4">
        <v>1097</v>
      </c>
      <c r="F46" s="4">
        <v>1097</v>
      </c>
      <c r="G46" s="4">
        <v>1112</v>
      </c>
      <c r="H46" s="4">
        <v>1042</v>
      </c>
      <c r="I46" s="4">
        <v>1153</v>
      </c>
      <c r="J46" s="4">
        <v>1191</v>
      </c>
      <c r="K46" s="4">
        <v>1332</v>
      </c>
      <c r="L46" s="4">
        <v>1594</v>
      </c>
      <c r="M46" s="4">
        <v>1816</v>
      </c>
      <c r="N46" s="4">
        <v>2116</v>
      </c>
      <c r="O46" s="4">
        <v>2301</v>
      </c>
      <c r="P46" s="4">
        <v>2493</v>
      </c>
      <c r="Q46" s="4">
        <v>2760</v>
      </c>
      <c r="R46" s="4">
        <v>3045</v>
      </c>
      <c r="S46" s="4">
        <v>3306</v>
      </c>
      <c r="T46" s="4">
        <v>3807</v>
      </c>
      <c r="U46" s="4">
        <v>4315</v>
      </c>
      <c r="V46" s="4">
        <v>4661</v>
      </c>
      <c r="W46" s="4">
        <v>5019</v>
      </c>
      <c r="X46" s="4">
        <v>5288</v>
      </c>
      <c r="Y46" s="4">
        <v>5727</v>
      </c>
      <c r="Z46" s="4">
        <v>5631</v>
      </c>
      <c r="AA46" s="4">
        <v>5861</v>
      </c>
      <c r="AB46" s="4">
        <v>5794</v>
      </c>
      <c r="AC46" s="4">
        <v>6082</v>
      </c>
      <c r="AD46" s="4">
        <v>6143</v>
      </c>
      <c r="AE46" s="4">
        <v>5803</v>
      </c>
      <c r="AF46" s="4">
        <v>5753</v>
      </c>
      <c r="AG46" s="4">
        <v>5944</v>
      </c>
      <c r="AH46" s="4">
        <v>5987</v>
      </c>
      <c r="AI46" s="4">
        <v>6410</v>
      </c>
      <c r="AJ46" s="4">
        <v>6532</v>
      </c>
      <c r="AK46" s="4">
        <v>6384</v>
      </c>
      <c r="AL46" s="4">
        <v>6638</v>
      </c>
      <c r="AM46" s="4">
        <v>6794</v>
      </c>
      <c r="AN46" s="4">
        <v>7044</v>
      </c>
      <c r="AO46" s="4">
        <v>7142</v>
      </c>
      <c r="AP46" s="4">
        <v>7225</v>
      </c>
      <c r="AQ46" s="4">
        <v>7294</v>
      </c>
      <c r="AR46" s="4">
        <v>7280</v>
      </c>
      <c r="AS46" s="4">
        <v>7624</v>
      </c>
      <c r="AT46" s="4">
        <v>8173</v>
      </c>
      <c r="AU46" s="4">
        <v>8200</v>
      </c>
      <c r="AV46" s="4">
        <v>8786</v>
      </c>
      <c r="AW46" s="4">
        <v>8656</v>
      </c>
      <c r="AX46" s="4">
        <v>8779</v>
      </c>
      <c r="AY46" s="4">
        <v>8957</v>
      </c>
      <c r="AZ46" s="4">
        <v>9531</v>
      </c>
      <c r="BA46" s="4">
        <v>10359</v>
      </c>
      <c r="BB46" s="4">
        <v>10632</v>
      </c>
      <c r="BC46" s="4">
        <v>11247</v>
      </c>
      <c r="BD46" s="4">
        <v>11573</v>
      </c>
      <c r="BE46" s="4">
        <v>11798</v>
      </c>
      <c r="BF46" s="4">
        <v>12431</v>
      </c>
      <c r="BG46" s="4">
        <v>12036</v>
      </c>
      <c r="BH46" s="4">
        <v>12743</v>
      </c>
      <c r="BI46" s="4">
        <v>13854</v>
      </c>
      <c r="BJ46" s="4">
        <v>14413</v>
      </c>
    </row>
    <row r="47" spans="2:62" x14ac:dyDescent="0.2">
      <c r="C47" s="3" t="s">
        <v>66</v>
      </c>
      <c r="D47" s="4">
        <v>103</v>
      </c>
      <c r="E47" s="4">
        <v>145</v>
      </c>
      <c r="F47" s="4">
        <v>145</v>
      </c>
      <c r="G47" s="4">
        <v>144</v>
      </c>
      <c r="H47" s="4">
        <v>141</v>
      </c>
      <c r="I47" s="4">
        <v>162</v>
      </c>
      <c r="J47" s="4">
        <v>185</v>
      </c>
      <c r="K47" s="4">
        <v>205</v>
      </c>
      <c r="L47" s="4">
        <v>214</v>
      </c>
      <c r="M47" s="4">
        <v>218</v>
      </c>
      <c r="N47" s="4">
        <v>251</v>
      </c>
      <c r="O47" s="4">
        <v>285</v>
      </c>
      <c r="P47" s="4">
        <v>351</v>
      </c>
      <c r="Q47" s="4">
        <v>439</v>
      </c>
      <c r="R47" s="4">
        <v>550</v>
      </c>
      <c r="S47" s="4">
        <v>771</v>
      </c>
      <c r="T47" s="4">
        <v>900</v>
      </c>
      <c r="U47" s="4">
        <v>898</v>
      </c>
      <c r="V47" s="4">
        <v>1104</v>
      </c>
      <c r="W47" s="4">
        <v>1098</v>
      </c>
      <c r="X47" s="4">
        <v>1182</v>
      </c>
      <c r="Y47" s="4">
        <v>1251</v>
      </c>
      <c r="Z47" s="4">
        <v>1260</v>
      </c>
      <c r="AA47" s="4">
        <v>1137</v>
      </c>
      <c r="AB47" s="4">
        <v>1126</v>
      </c>
      <c r="AC47" s="4">
        <v>1195</v>
      </c>
      <c r="AD47" s="4">
        <v>1215</v>
      </c>
      <c r="AE47" s="4">
        <v>1195</v>
      </c>
      <c r="AF47" s="4">
        <v>1308</v>
      </c>
      <c r="AG47" s="4">
        <v>1393</v>
      </c>
      <c r="AH47" s="4">
        <v>1427</v>
      </c>
      <c r="AI47" s="4">
        <v>1486</v>
      </c>
      <c r="AJ47" s="4">
        <v>1423</v>
      </c>
      <c r="AK47" s="4">
        <v>1593</v>
      </c>
      <c r="AL47" s="4">
        <v>1713</v>
      </c>
      <c r="AM47" s="4">
        <v>1785</v>
      </c>
      <c r="AN47" s="4">
        <v>1721</v>
      </c>
      <c r="AO47" s="4">
        <v>1872</v>
      </c>
      <c r="AP47" s="4">
        <v>1760</v>
      </c>
      <c r="AQ47" s="4">
        <v>1865</v>
      </c>
      <c r="AR47" s="4">
        <v>2055</v>
      </c>
      <c r="AS47" s="4">
        <v>2329</v>
      </c>
      <c r="AT47" s="4">
        <v>2592</v>
      </c>
      <c r="AU47" s="4">
        <v>3007</v>
      </c>
      <c r="AV47" s="4">
        <v>3170</v>
      </c>
      <c r="AW47" s="4">
        <v>3600</v>
      </c>
      <c r="AX47" s="4">
        <v>4089</v>
      </c>
      <c r="AY47" s="4">
        <v>3588</v>
      </c>
      <c r="AZ47" s="4">
        <v>3409</v>
      </c>
      <c r="BA47" s="4">
        <v>3462</v>
      </c>
      <c r="BB47" s="4">
        <v>4037</v>
      </c>
      <c r="BC47" s="4">
        <v>4210</v>
      </c>
      <c r="BD47" s="4">
        <v>4645</v>
      </c>
      <c r="BE47" s="4">
        <v>4263</v>
      </c>
      <c r="BF47" s="4">
        <v>4158</v>
      </c>
      <c r="BG47" s="4">
        <v>3601</v>
      </c>
      <c r="BH47" s="4">
        <v>3955</v>
      </c>
      <c r="BI47" s="4">
        <v>3997</v>
      </c>
      <c r="BJ47" s="4">
        <v>4062</v>
      </c>
    </row>
    <row r="48" spans="2:62" x14ac:dyDescent="0.2">
      <c r="C48" s="3" t="s">
        <v>67</v>
      </c>
      <c r="D48" s="4">
        <v>2255</v>
      </c>
      <c r="E48" s="4">
        <v>2402</v>
      </c>
      <c r="F48" s="4">
        <v>2544</v>
      </c>
      <c r="G48" s="4">
        <v>2767</v>
      </c>
      <c r="H48" s="4">
        <v>3113</v>
      </c>
      <c r="I48" s="4">
        <v>3504</v>
      </c>
      <c r="J48" s="4">
        <v>3838</v>
      </c>
      <c r="K48" s="4">
        <v>4448</v>
      </c>
      <c r="L48" s="4">
        <v>5233</v>
      </c>
      <c r="M48" s="4">
        <v>5725</v>
      </c>
      <c r="N48" s="4">
        <v>6297</v>
      </c>
      <c r="O48" s="4">
        <v>6917</v>
      </c>
      <c r="P48" s="4">
        <v>7549</v>
      </c>
      <c r="Q48" s="4">
        <v>8430</v>
      </c>
      <c r="R48" s="4">
        <v>9126</v>
      </c>
      <c r="S48" s="4">
        <v>10011</v>
      </c>
      <c r="T48" s="4">
        <v>10930</v>
      </c>
      <c r="U48" s="4">
        <v>11972</v>
      </c>
      <c r="V48" s="4">
        <v>12789</v>
      </c>
      <c r="W48" s="4">
        <v>13304</v>
      </c>
      <c r="X48" s="4">
        <v>14289</v>
      </c>
      <c r="Y48" s="4">
        <v>15244</v>
      </c>
      <c r="Z48" s="4">
        <v>15851</v>
      </c>
      <c r="AA48" s="4">
        <v>15979</v>
      </c>
      <c r="AB48" s="4">
        <v>16503</v>
      </c>
      <c r="AC48" s="4">
        <v>17014</v>
      </c>
      <c r="AD48" s="4">
        <v>17245</v>
      </c>
      <c r="AE48" s="4">
        <v>17127</v>
      </c>
      <c r="AF48" s="4">
        <v>17251</v>
      </c>
      <c r="AG48" s="4">
        <v>17683</v>
      </c>
      <c r="AH48" s="4">
        <v>17856</v>
      </c>
      <c r="AI48" s="4">
        <v>18062</v>
      </c>
      <c r="AJ48" s="4">
        <v>18824</v>
      </c>
      <c r="AK48" s="4">
        <v>18891</v>
      </c>
      <c r="AL48" s="4">
        <v>19589</v>
      </c>
      <c r="AM48" s="4">
        <v>20309</v>
      </c>
      <c r="AN48" s="4">
        <v>21264</v>
      </c>
      <c r="AO48" s="4">
        <v>21474</v>
      </c>
      <c r="AP48" s="4">
        <v>21369</v>
      </c>
      <c r="AQ48" s="4">
        <v>20933</v>
      </c>
      <c r="AR48" s="4">
        <v>21032</v>
      </c>
      <c r="AS48" s="4">
        <v>21316</v>
      </c>
      <c r="AT48" s="4">
        <v>21729</v>
      </c>
      <c r="AU48" s="4">
        <v>20676</v>
      </c>
      <c r="AV48" s="4">
        <v>20426</v>
      </c>
      <c r="AW48" s="4">
        <v>19645</v>
      </c>
      <c r="AX48" s="4">
        <v>19207</v>
      </c>
      <c r="AY48" s="4">
        <v>18798</v>
      </c>
      <c r="AZ48" s="4">
        <v>17923</v>
      </c>
      <c r="BA48" s="4">
        <v>17619</v>
      </c>
      <c r="BB48" s="4">
        <v>18944</v>
      </c>
      <c r="BC48" s="4">
        <v>19723</v>
      </c>
      <c r="BD48" s="4">
        <v>19845</v>
      </c>
      <c r="BE48" s="4">
        <v>20401</v>
      </c>
      <c r="BF48" s="4">
        <v>21707</v>
      </c>
      <c r="BG48" s="4">
        <v>22526</v>
      </c>
      <c r="BH48" s="4">
        <v>22937</v>
      </c>
      <c r="BI48" s="4">
        <v>23604</v>
      </c>
      <c r="BJ48" s="4">
        <v>25474</v>
      </c>
    </row>
    <row r="49" spans="3:62" x14ac:dyDescent="0.2">
      <c r="C49" s="3" t="s">
        <v>68</v>
      </c>
      <c r="D49" s="4">
        <v>1155</v>
      </c>
      <c r="E49" s="4">
        <v>1187</v>
      </c>
      <c r="F49" s="4">
        <v>1242</v>
      </c>
      <c r="G49" s="4">
        <v>1368</v>
      </c>
      <c r="H49" s="4">
        <v>1422</v>
      </c>
      <c r="I49" s="4">
        <v>1465</v>
      </c>
      <c r="J49" s="4">
        <v>1649</v>
      </c>
      <c r="K49" s="4">
        <v>1830</v>
      </c>
      <c r="L49" s="4">
        <v>1925</v>
      </c>
      <c r="M49" s="4">
        <v>2061</v>
      </c>
      <c r="N49" s="4">
        <v>2435</v>
      </c>
      <c r="O49" s="4">
        <v>2497</v>
      </c>
      <c r="P49" s="4">
        <v>2449</v>
      </c>
      <c r="Q49" s="4">
        <v>2686</v>
      </c>
      <c r="R49" s="4">
        <v>2762</v>
      </c>
      <c r="S49" s="4">
        <v>2905</v>
      </c>
      <c r="T49" s="4">
        <v>3338</v>
      </c>
      <c r="U49" s="4">
        <v>3558</v>
      </c>
      <c r="V49" s="4">
        <v>4052</v>
      </c>
      <c r="W49" s="4">
        <v>4381</v>
      </c>
      <c r="X49" s="4">
        <v>4615</v>
      </c>
      <c r="Y49" s="4">
        <v>4686</v>
      </c>
      <c r="Z49" s="4">
        <v>4324</v>
      </c>
      <c r="AA49" s="4">
        <v>4264</v>
      </c>
      <c r="AB49" s="4">
        <v>4243</v>
      </c>
      <c r="AC49" s="4">
        <v>4197</v>
      </c>
      <c r="AD49" s="4">
        <v>4251</v>
      </c>
      <c r="AE49" s="4">
        <v>4039</v>
      </c>
      <c r="AF49" s="4">
        <v>3831</v>
      </c>
      <c r="AG49" s="4">
        <v>3714</v>
      </c>
      <c r="AH49" s="4">
        <v>3452</v>
      </c>
      <c r="AI49" s="4">
        <v>3368</v>
      </c>
      <c r="AJ49" s="4">
        <v>3346</v>
      </c>
      <c r="AK49" s="4">
        <v>3294</v>
      </c>
      <c r="AL49" s="4">
        <v>3240</v>
      </c>
      <c r="AM49" s="4">
        <v>3222</v>
      </c>
      <c r="AN49" s="4">
        <v>2918</v>
      </c>
      <c r="AO49" s="4">
        <v>2812</v>
      </c>
      <c r="AP49" s="4">
        <v>2637</v>
      </c>
      <c r="AQ49" s="4">
        <v>2579</v>
      </c>
      <c r="AR49" s="4">
        <v>2478</v>
      </c>
      <c r="AS49" s="4">
        <v>2452</v>
      </c>
      <c r="AT49" s="4">
        <v>2404</v>
      </c>
      <c r="AU49" s="4">
        <v>2021</v>
      </c>
      <c r="AV49" s="4">
        <v>1854</v>
      </c>
      <c r="AW49" s="4">
        <v>1862</v>
      </c>
      <c r="AX49" s="4">
        <v>1647</v>
      </c>
      <c r="AY49" s="4">
        <v>1798</v>
      </c>
      <c r="AZ49" s="4">
        <v>1824</v>
      </c>
      <c r="BA49" s="4">
        <v>1796</v>
      </c>
      <c r="BB49" s="4">
        <v>1873</v>
      </c>
      <c r="BC49" s="4">
        <v>2025</v>
      </c>
      <c r="BD49" s="4">
        <v>2086</v>
      </c>
      <c r="BE49" s="4">
        <v>2055</v>
      </c>
      <c r="BF49" s="4">
        <v>2043</v>
      </c>
      <c r="BG49" s="4">
        <v>2095</v>
      </c>
      <c r="BH49" s="4">
        <v>2163</v>
      </c>
      <c r="BI49" s="4">
        <v>2196</v>
      </c>
      <c r="BJ49" s="4">
        <v>2302</v>
      </c>
    </row>
    <row r="50" spans="3:62" x14ac:dyDescent="0.2">
      <c r="C50" s="3" t="s">
        <v>69</v>
      </c>
      <c r="D50" s="4">
        <v>1020</v>
      </c>
      <c r="E50" s="4">
        <v>1073</v>
      </c>
      <c r="F50" s="4">
        <v>1201</v>
      </c>
      <c r="G50" s="4">
        <v>1341</v>
      </c>
      <c r="H50" s="4">
        <v>1515</v>
      </c>
      <c r="I50" s="4">
        <v>1661</v>
      </c>
      <c r="J50" s="4">
        <v>1813</v>
      </c>
      <c r="K50" s="4">
        <v>2043</v>
      </c>
      <c r="L50" s="4">
        <v>2493</v>
      </c>
      <c r="M50" s="4">
        <v>2459</v>
      </c>
      <c r="N50" s="4">
        <v>2817</v>
      </c>
      <c r="O50" s="4">
        <v>3100</v>
      </c>
      <c r="P50" s="4">
        <v>3430</v>
      </c>
      <c r="Q50" s="4">
        <v>4001</v>
      </c>
      <c r="R50" s="4">
        <v>4323</v>
      </c>
      <c r="S50" s="4">
        <v>4547</v>
      </c>
      <c r="T50" s="4">
        <v>4890</v>
      </c>
      <c r="U50" s="4">
        <v>5373</v>
      </c>
      <c r="V50" s="4">
        <v>6152</v>
      </c>
      <c r="W50" s="4">
        <v>6574</v>
      </c>
      <c r="X50" s="4">
        <v>7337</v>
      </c>
      <c r="Y50" s="4">
        <v>7977</v>
      </c>
      <c r="Z50" s="4">
        <v>8413</v>
      </c>
      <c r="AA50" s="4">
        <v>8658</v>
      </c>
      <c r="AB50" s="4">
        <v>9033</v>
      </c>
      <c r="AC50" s="4">
        <v>9166</v>
      </c>
      <c r="AD50" s="4">
        <v>9164</v>
      </c>
      <c r="AE50" s="4">
        <v>8982</v>
      </c>
      <c r="AF50" s="4">
        <v>9233</v>
      </c>
      <c r="AG50" s="4">
        <v>9507</v>
      </c>
      <c r="AH50" s="4">
        <v>10080</v>
      </c>
      <c r="AI50" s="4">
        <v>10498</v>
      </c>
      <c r="AJ50" s="4">
        <v>10928</v>
      </c>
      <c r="AK50" s="4">
        <v>11020</v>
      </c>
      <c r="AL50" s="4">
        <v>11149</v>
      </c>
      <c r="AM50" s="4">
        <v>11086</v>
      </c>
      <c r="AN50" s="4">
        <v>10784</v>
      </c>
      <c r="AO50" s="4">
        <v>10669</v>
      </c>
      <c r="AP50" s="4">
        <v>10570</v>
      </c>
      <c r="AQ50" s="4">
        <v>10713</v>
      </c>
      <c r="AR50" s="4">
        <v>11137</v>
      </c>
      <c r="AS50" s="4">
        <v>11411</v>
      </c>
      <c r="AT50" s="4">
        <v>11300</v>
      </c>
      <c r="AU50" s="4">
        <v>9595</v>
      </c>
      <c r="AV50" s="4">
        <v>8647</v>
      </c>
      <c r="AW50" s="4">
        <v>8226</v>
      </c>
      <c r="AX50" s="4">
        <v>7961</v>
      </c>
      <c r="AY50" s="4">
        <v>7556</v>
      </c>
      <c r="AZ50" s="4">
        <v>7709</v>
      </c>
      <c r="BA50" s="4">
        <v>7681</v>
      </c>
      <c r="BB50" s="4">
        <v>7586</v>
      </c>
      <c r="BC50" s="4">
        <v>7842</v>
      </c>
      <c r="BD50" s="4">
        <v>7992</v>
      </c>
      <c r="BE50" s="4">
        <v>7906</v>
      </c>
      <c r="BF50" s="4">
        <v>7803</v>
      </c>
      <c r="BG50" s="4">
        <v>7902</v>
      </c>
      <c r="BH50" s="4">
        <v>8099</v>
      </c>
      <c r="BI50" s="4">
        <v>7899</v>
      </c>
      <c r="BJ50" s="4">
        <v>8050</v>
      </c>
    </row>
    <row r="51" spans="3:62" x14ac:dyDescent="0.2">
      <c r="C51" s="3" t="s">
        <v>70</v>
      </c>
      <c r="D51" s="4">
        <v>39</v>
      </c>
      <c r="E51" s="4">
        <v>43</v>
      </c>
      <c r="F51" s="4">
        <v>48</v>
      </c>
      <c r="G51" s="4">
        <v>50</v>
      </c>
      <c r="H51" s="4">
        <v>52</v>
      </c>
      <c r="I51" s="4">
        <v>57</v>
      </c>
      <c r="J51" s="4">
        <v>60</v>
      </c>
      <c r="K51" s="4">
        <v>55</v>
      </c>
      <c r="L51" s="4">
        <v>63</v>
      </c>
      <c r="M51" s="4">
        <v>68</v>
      </c>
      <c r="N51" s="4">
        <v>71</v>
      </c>
      <c r="O51" s="4">
        <v>76</v>
      </c>
      <c r="P51" s="4">
        <v>85</v>
      </c>
      <c r="Q51" s="4">
        <v>101</v>
      </c>
      <c r="R51" s="4">
        <v>128</v>
      </c>
      <c r="S51" s="4">
        <v>141</v>
      </c>
      <c r="T51" s="4">
        <v>154</v>
      </c>
      <c r="U51" s="4">
        <v>155</v>
      </c>
      <c r="V51" s="4">
        <v>172</v>
      </c>
      <c r="W51" s="4">
        <v>185</v>
      </c>
      <c r="X51" s="4">
        <v>191</v>
      </c>
      <c r="Y51" s="4">
        <v>213</v>
      </c>
      <c r="Z51" s="4">
        <v>330</v>
      </c>
      <c r="AA51" s="4">
        <v>354</v>
      </c>
      <c r="AB51" s="4">
        <v>381</v>
      </c>
      <c r="AC51" s="4">
        <v>377</v>
      </c>
      <c r="AD51" s="4">
        <v>413</v>
      </c>
      <c r="AE51" s="4">
        <v>328</v>
      </c>
      <c r="AF51" s="4">
        <v>333</v>
      </c>
      <c r="AG51" s="4">
        <v>382</v>
      </c>
      <c r="AH51" s="4">
        <v>383</v>
      </c>
      <c r="AI51" s="4">
        <v>431</v>
      </c>
      <c r="AJ51" s="4">
        <v>374</v>
      </c>
      <c r="AK51" s="4">
        <v>363</v>
      </c>
      <c r="AL51" s="4">
        <v>340</v>
      </c>
      <c r="AM51" s="4">
        <v>373</v>
      </c>
      <c r="AN51" s="4">
        <v>408</v>
      </c>
      <c r="AO51" s="4">
        <v>404</v>
      </c>
      <c r="AP51" s="4">
        <v>406</v>
      </c>
      <c r="AQ51" s="4">
        <v>431</v>
      </c>
      <c r="AR51" s="4">
        <v>504</v>
      </c>
      <c r="AS51" s="4">
        <v>555</v>
      </c>
      <c r="AT51" s="4">
        <v>570</v>
      </c>
      <c r="AU51" s="4">
        <v>406</v>
      </c>
      <c r="AV51" s="4">
        <v>419</v>
      </c>
      <c r="AW51" s="4">
        <v>465</v>
      </c>
      <c r="AX51" s="4">
        <v>483</v>
      </c>
      <c r="AY51" s="4">
        <v>579</v>
      </c>
      <c r="AZ51" s="4">
        <v>533</v>
      </c>
      <c r="BA51" s="4">
        <v>439</v>
      </c>
      <c r="BB51" s="4">
        <v>540</v>
      </c>
      <c r="BC51" s="4">
        <v>501</v>
      </c>
      <c r="BD51" s="4">
        <v>524</v>
      </c>
      <c r="BE51" s="4">
        <v>520</v>
      </c>
      <c r="BF51" s="4">
        <v>529</v>
      </c>
      <c r="BG51" s="4">
        <v>521</v>
      </c>
      <c r="BH51" s="4">
        <v>605</v>
      </c>
      <c r="BI51" s="4">
        <v>643</v>
      </c>
      <c r="BJ51" s="4">
        <v>736</v>
      </c>
    </row>
    <row r="52" spans="3:62" x14ac:dyDescent="0.2">
      <c r="C52" s="3" t="s">
        <v>71</v>
      </c>
      <c r="D52" s="4">
        <v>384</v>
      </c>
      <c r="E52" s="4">
        <v>428</v>
      </c>
      <c r="F52" s="4">
        <v>464</v>
      </c>
      <c r="G52" s="4">
        <v>527</v>
      </c>
      <c r="H52" s="4">
        <v>593</v>
      </c>
      <c r="I52" s="4">
        <v>658</v>
      </c>
      <c r="J52" s="4">
        <v>686</v>
      </c>
      <c r="K52" s="4">
        <v>781</v>
      </c>
      <c r="L52" s="4">
        <v>969</v>
      </c>
      <c r="M52" s="4">
        <v>1073</v>
      </c>
      <c r="N52" s="4">
        <v>1142</v>
      </c>
      <c r="O52" s="4">
        <v>1256</v>
      </c>
      <c r="P52" s="4">
        <v>1390</v>
      </c>
      <c r="Q52" s="4">
        <v>1551</v>
      </c>
      <c r="R52" s="4">
        <v>1735</v>
      </c>
      <c r="S52" s="4">
        <v>1915</v>
      </c>
      <c r="T52" s="4">
        <v>2121</v>
      </c>
      <c r="U52" s="4">
        <v>2254</v>
      </c>
      <c r="V52" s="4">
        <v>2576</v>
      </c>
      <c r="W52" s="4">
        <v>2776</v>
      </c>
      <c r="X52" s="4">
        <v>2917</v>
      </c>
      <c r="Y52" s="4">
        <v>3204</v>
      </c>
      <c r="Z52" s="4">
        <v>3063</v>
      </c>
      <c r="AA52" s="4">
        <v>3193</v>
      </c>
      <c r="AB52" s="4">
        <v>3212</v>
      </c>
      <c r="AC52" s="4">
        <v>3363</v>
      </c>
      <c r="AD52" s="4">
        <v>3785</v>
      </c>
      <c r="AE52" s="4">
        <v>3644</v>
      </c>
      <c r="AF52" s="4">
        <v>3758</v>
      </c>
      <c r="AG52" s="4">
        <v>4027</v>
      </c>
      <c r="AH52" s="4">
        <v>4225</v>
      </c>
      <c r="AI52" s="4">
        <v>4097</v>
      </c>
      <c r="AJ52" s="4">
        <v>4094</v>
      </c>
      <c r="AK52" s="4">
        <v>4278</v>
      </c>
      <c r="AL52" s="4">
        <v>4445</v>
      </c>
      <c r="AM52" s="4">
        <v>4482</v>
      </c>
      <c r="AN52" s="4">
        <v>4428</v>
      </c>
      <c r="AO52" s="4">
        <v>4623</v>
      </c>
      <c r="AP52" s="4">
        <v>4603</v>
      </c>
      <c r="AQ52" s="4">
        <v>4835</v>
      </c>
      <c r="AR52" s="4">
        <v>4733</v>
      </c>
      <c r="AS52" s="4">
        <v>5670</v>
      </c>
      <c r="AT52" s="4">
        <v>6074</v>
      </c>
      <c r="AU52" s="4">
        <v>5606</v>
      </c>
      <c r="AV52" s="4">
        <v>5661</v>
      </c>
      <c r="AW52" s="4">
        <v>5729</v>
      </c>
      <c r="AX52" s="4">
        <v>5598</v>
      </c>
      <c r="AY52" s="4">
        <v>5763</v>
      </c>
      <c r="AZ52" s="4">
        <v>6040</v>
      </c>
      <c r="BA52" s="4">
        <v>6369</v>
      </c>
      <c r="BB52" s="4">
        <v>6457</v>
      </c>
      <c r="BC52" s="4">
        <v>6369</v>
      </c>
      <c r="BD52" s="4">
        <v>6529</v>
      </c>
      <c r="BE52" s="4">
        <v>6818</v>
      </c>
      <c r="BF52" s="4">
        <v>7070</v>
      </c>
      <c r="BG52" s="4">
        <v>7917</v>
      </c>
      <c r="BH52" s="4">
        <v>7696</v>
      </c>
      <c r="BI52" s="4">
        <v>7818</v>
      </c>
      <c r="BJ52" s="4">
        <v>8267</v>
      </c>
    </row>
    <row r="53" spans="3:62" x14ac:dyDescent="0.2">
      <c r="C53" s="3" t="s">
        <v>72</v>
      </c>
      <c r="D53" s="4">
        <v>109</v>
      </c>
      <c r="E53" s="4">
        <v>84</v>
      </c>
      <c r="F53" s="4">
        <v>99</v>
      </c>
      <c r="G53" s="4">
        <v>111</v>
      </c>
      <c r="H53" s="4">
        <v>122</v>
      </c>
      <c r="I53" s="4">
        <v>142</v>
      </c>
      <c r="J53" s="4">
        <v>222</v>
      </c>
      <c r="K53" s="4">
        <v>256</v>
      </c>
      <c r="L53" s="4">
        <v>318</v>
      </c>
      <c r="M53" s="4">
        <v>390</v>
      </c>
      <c r="N53" s="4">
        <v>420</v>
      </c>
      <c r="O53" s="4">
        <v>480</v>
      </c>
      <c r="P53" s="4">
        <v>563</v>
      </c>
      <c r="Q53" s="4">
        <v>650</v>
      </c>
      <c r="R53" s="4">
        <v>744</v>
      </c>
      <c r="S53" s="4">
        <v>880</v>
      </c>
      <c r="T53" s="4">
        <v>988</v>
      </c>
      <c r="U53" s="4">
        <v>1171</v>
      </c>
      <c r="V53" s="4">
        <v>1367</v>
      </c>
      <c r="W53" s="4">
        <v>1486</v>
      </c>
      <c r="X53" s="4">
        <v>1656</v>
      </c>
      <c r="Y53" s="4">
        <v>1906</v>
      </c>
      <c r="Z53" s="4">
        <v>2238</v>
      </c>
      <c r="AA53" s="4">
        <v>2461</v>
      </c>
      <c r="AB53" s="4">
        <v>2711</v>
      </c>
      <c r="AC53" s="4">
        <v>2848</v>
      </c>
      <c r="AD53" s="4">
        <v>2498</v>
      </c>
      <c r="AE53" s="4">
        <v>2715</v>
      </c>
      <c r="AF53" s="4">
        <v>3160</v>
      </c>
      <c r="AG53" s="4">
        <v>3480</v>
      </c>
      <c r="AH53" s="4">
        <v>3246</v>
      </c>
      <c r="AI53" s="4">
        <v>4161</v>
      </c>
      <c r="AJ53" s="4">
        <v>4427</v>
      </c>
      <c r="AK53" s="4">
        <v>4448</v>
      </c>
      <c r="AL53" s="4">
        <v>3946</v>
      </c>
      <c r="AM53" s="4">
        <v>5296</v>
      </c>
      <c r="AN53" s="4">
        <v>5717</v>
      </c>
      <c r="AO53" s="4">
        <v>6583</v>
      </c>
      <c r="AP53" s="4">
        <v>7073</v>
      </c>
      <c r="AQ53" s="4">
        <v>7731</v>
      </c>
      <c r="AR53" s="4">
        <v>7990</v>
      </c>
      <c r="AS53" s="4">
        <v>8585</v>
      </c>
      <c r="AT53" s="4">
        <v>9132</v>
      </c>
      <c r="AU53" s="4">
        <v>10158</v>
      </c>
      <c r="AV53" s="4">
        <v>10917</v>
      </c>
      <c r="AW53" s="4">
        <v>11627</v>
      </c>
      <c r="AX53" s="4">
        <v>12187</v>
      </c>
      <c r="AY53" s="4">
        <v>13132</v>
      </c>
      <c r="AZ53" s="4">
        <v>14725</v>
      </c>
      <c r="BA53" s="4">
        <v>16667</v>
      </c>
      <c r="BB53" s="4">
        <v>17806</v>
      </c>
      <c r="BC53" s="4">
        <v>18011</v>
      </c>
      <c r="BD53" s="4">
        <v>18405</v>
      </c>
      <c r="BE53" s="4">
        <v>17988</v>
      </c>
      <c r="BF53" s="4">
        <v>18802</v>
      </c>
      <c r="BG53" s="4">
        <v>20871</v>
      </c>
      <c r="BH53" s="4">
        <v>23510</v>
      </c>
      <c r="BI53" s="4">
        <v>28675</v>
      </c>
      <c r="BJ53" s="4">
        <v>35438</v>
      </c>
    </row>
    <row r="54" spans="3:62" x14ac:dyDescent="0.2">
      <c r="C54" s="3" t="s">
        <v>73</v>
      </c>
      <c r="D54" s="4">
        <v>957</v>
      </c>
      <c r="E54" s="4">
        <v>1045</v>
      </c>
      <c r="F54" s="4">
        <v>1154</v>
      </c>
      <c r="G54" s="4">
        <v>1354</v>
      </c>
      <c r="H54" s="4">
        <v>1536</v>
      </c>
      <c r="I54" s="4">
        <v>1723</v>
      </c>
      <c r="J54" s="4">
        <v>1975</v>
      </c>
      <c r="K54" s="4">
        <v>2327</v>
      </c>
      <c r="L54" s="4">
        <v>2644</v>
      </c>
      <c r="M54" s="4">
        <v>2717</v>
      </c>
      <c r="N54" s="4">
        <v>3211</v>
      </c>
      <c r="O54" s="4">
        <v>3607</v>
      </c>
      <c r="P54" s="4">
        <v>3911</v>
      </c>
      <c r="Q54" s="4">
        <v>4334</v>
      </c>
      <c r="R54" s="4">
        <v>4418</v>
      </c>
      <c r="S54" s="4">
        <v>4403</v>
      </c>
      <c r="T54" s="4">
        <v>4808</v>
      </c>
      <c r="U54" s="4">
        <v>5038</v>
      </c>
      <c r="V54" s="4">
        <v>5646</v>
      </c>
      <c r="W54" s="4">
        <v>6035</v>
      </c>
      <c r="X54" s="4">
        <v>6765</v>
      </c>
      <c r="Y54" s="4">
        <v>7511</v>
      </c>
      <c r="Z54" s="4">
        <v>7430</v>
      </c>
      <c r="AA54" s="4">
        <v>7554</v>
      </c>
      <c r="AB54" s="4">
        <v>7736</v>
      </c>
      <c r="AC54" s="4">
        <v>8140</v>
      </c>
      <c r="AD54" s="4">
        <v>8261</v>
      </c>
      <c r="AE54" s="4">
        <v>8135</v>
      </c>
      <c r="AF54" s="4">
        <v>8427</v>
      </c>
      <c r="AG54" s="4">
        <v>8917</v>
      </c>
      <c r="AH54" s="4">
        <v>9245</v>
      </c>
      <c r="AI54" s="4">
        <v>9790</v>
      </c>
      <c r="AJ54" s="4">
        <v>10530</v>
      </c>
      <c r="AK54" s="4">
        <v>11012</v>
      </c>
      <c r="AL54" s="4">
        <v>11045</v>
      </c>
      <c r="AM54" s="4">
        <v>11175</v>
      </c>
      <c r="AN54" s="4">
        <v>11130</v>
      </c>
      <c r="AO54" s="4">
        <v>11042</v>
      </c>
      <c r="AP54" s="4">
        <v>11055</v>
      </c>
      <c r="AQ54" s="4">
        <v>11449</v>
      </c>
      <c r="AR54" s="4">
        <v>12068</v>
      </c>
      <c r="AS54" s="4">
        <v>12958</v>
      </c>
      <c r="AT54" s="4">
        <v>13183</v>
      </c>
      <c r="AU54" s="4">
        <v>10973</v>
      </c>
      <c r="AV54" s="4">
        <v>10056</v>
      </c>
      <c r="AW54" s="4">
        <v>10571</v>
      </c>
      <c r="AX54" s="4">
        <v>10719</v>
      </c>
      <c r="AY54" s="4">
        <v>10604</v>
      </c>
      <c r="AZ54" s="4">
        <v>10706</v>
      </c>
      <c r="BA54" s="4">
        <v>10814</v>
      </c>
      <c r="BB54" s="4">
        <v>11103</v>
      </c>
      <c r="BC54" s="4">
        <v>11779</v>
      </c>
      <c r="BD54" s="4">
        <v>12098</v>
      </c>
      <c r="BE54" s="4">
        <v>12580</v>
      </c>
      <c r="BF54" s="4">
        <v>12634</v>
      </c>
      <c r="BG54" s="4">
        <v>13194</v>
      </c>
      <c r="BH54" s="4">
        <v>13796</v>
      </c>
      <c r="BI54" s="4">
        <v>13363</v>
      </c>
      <c r="BJ54" s="4">
        <v>13376</v>
      </c>
    </row>
    <row r="55" spans="3:62" x14ac:dyDescent="0.2">
      <c r="C55" s="3" t="s">
        <v>74</v>
      </c>
      <c r="D55" s="4">
        <v>860</v>
      </c>
      <c r="E55" s="4">
        <v>929</v>
      </c>
      <c r="F55" s="4">
        <v>955</v>
      </c>
      <c r="G55" s="4">
        <v>1129</v>
      </c>
      <c r="H55" s="4">
        <v>1274</v>
      </c>
      <c r="I55" s="4">
        <v>1341</v>
      </c>
      <c r="J55" s="4">
        <v>1498</v>
      </c>
      <c r="K55" s="4">
        <v>1786</v>
      </c>
      <c r="L55" s="4">
        <v>2180</v>
      </c>
      <c r="M55" s="4">
        <v>2233</v>
      </c>
      <c r="N55" s="4">
        <v>2568</v>
      </c>
      <c r="O55" s="4">
        <v>2719</v>
      </c>
      <c r="P55" s="4">
        <v>2999</v>
      </c>
      <c r="Q55" s="4">
        <v>3673</v>
      </c>
      <c r="R55" s="4">
        <v>4042</v>
      </c>
      <c r="S55" s="4">
        <v>3952</v>
      </c>
      <c r="T55" s="4">
        <v>4507</v>
      </c>
      <c r="U55" s="4">
        <v>5012</v>
      </c>
      <c r="V55" s="4">
        <v>5829</v>
      </c>
      <c r="W55" s="4">
        <v>6535</v>
      </c>
      <c r="X55" s="4">
        <v>7318</v>
      </c>
      <c r="Y55" s="4">
        <v>7570</v>
      </c>
      <c r="Z55" s="4">
        <v>7856</v>
      </c>
      <c r="AA55" s="4">
        <v>8732</v>
      </c>
      <c r="AB55" s="4">
        <v>9564</v>
      </c>
      <c r="AC55" s="4">
        <v>9653</v>
      </c>
      <c r="AD55" s="4">
        <v>10074</v>
      </c>
      <c r="AE55" s="4">
        <v>10075</v>
      </c>
      <c r="AF55" s="4">
        <v>10332</v>
      </c>
      <c r="AG55" s="4">
        <v>11616</v>
      </c>
      <c r="AH55" s="4">
        <v>12132</v>
      </c>
      <c r="AI55" s="4">
        <v>12765</v>
      </c>
      <c r="AJ55" s="4">
        <v>12791</v>
      </c>
      <c r="AK55" s="4">
        <v>13189</v>
      </c>
      <c r="AL55" s="4">
        <v>13643</v>
      </c>
      <c r="AM55" s="4">
        <v>14217</v>
      </c>
      <c r="AN55" s="4">
        <v>14143</v>
      </c>
      <c r="AO55" s="4">
        <v>13738</v>
      </c>
      <c r="AP55" s="4">
        <v>13854</v>
      </c>
      <c r="AQ55" s="4">
        <v>14360</v>
      </c>
      <c r="AR55" s="4">
        <v>15298</v>
      </c>
      <c r="AS55" s="4">
        <v>16930</v>
      </c>
      <c r="AT55" s="4">
        <v>17641</v>
      </c>
      <c r="AU55" s="4">
        <v>15062</v>
      </c>
      <c r="AV55" s="4">
        <v>14147</v>
      </c>
      <c r="AW55" s="4">
        <v>14517</v>
      </c>
      <c r="AX55" s="4">
        <v>14796</v>
      </c>
      <c r="AY55" s="4">
        <v>15028</v>
      </c>
      <c r="AZ55" s="4">
        <v>15615</v>
      </c>
      <c r="BA55" s="4">
        <v>15922</v>
      </c>
      <c r="BB55" s="4">
        <v>16602</v>
      </c>
      <c r="BC55" s="4">
        <v>17376</v>
      </c>
      <c r="BD55" s="4">
        <v>17792</v>
      </c>
      <c r="BE55" s="4">
        <v>17645</v>
      </c>
      <c r="BF55" s="4">
        <v>17279</v>
      </c>
      <c r="BG55" s="4">
        <v>17776</v>
      </c>
      <c r="BH55" s="4">
        <v>18897</v>
      </c>
      <c r="BI55" s="4">
        <v>19830</v>
      </c>
      <c r="BJ55" s="4">
        <v>20842</v>
      </c>
    </row>
    <row r="56" spans="3:62" x14ac:dyDescent="0.2">
      <c r="C56" s="3" t="s">
        <v>75</v>
      </c>
      <c r="D56" s="4">
        <v>347</v>
      </c>
      <c r="E56" s="4">
        <v>362</v>
      </c>
      <c r="F56" s="4">
        <v>406</v>
      </c>
      <c r="G56" s="4">
        <v>473</v>
      </c>
      <c r="H56" s="4">
        <v>543</v>
      </c>
      <c r="I56" s="4">
        <v>578</v>
      </c>
      <c r="J56" s="4">
        <v>676</v>
      </c>
      <c r="K56" s="4">
        <v>830</v>
      </c>
      <c r="L56" s="4">
        <v>1098</v>
      </c>
      <c r="M56" s="4">
        <v>1137</v>
      </c>
      <c r="N56" s="4">
        <v>1305</v>
      </c>
      <c r="O56" s="4">
        <v>1484</v>
      </c>
      <c r="P56" s="4">
        <v>1667</v>
      </c>
      <c r="Q56" s="4">
        <v>1859</v>
      </c>
      <c r="R56" s="4">
        <v>2161</v>
      </c>
      <c r="S56" s="4">
        <v>2295</v>
      </c>
      <c r="T56" s="4">
        <v>2519</v>
      </c>
      <c r="U56" s="4">
        <v>2903</v>
      </c>
      <c r="V56" s="4">
        <v>3267</v>
      </c>
      <c r="W56" s="4">
        <v>3766</v>
      </c>
      <c r="X56" s="4">
        <v>4084</v>
      </c>
      <c r="Y56" s="4">
        <v>4384</v>
      </c>
      <c r="Z56" s="4">
        <v>4466</v>
      </c>
      <c r="AA56" s="4">
        <v>4618</v>
      </c>
      <c r="AB56" s="4">
        <v>4811</v>
      </c>
      <c r="AC56" s="4">
        <v>4880</v>
      </c>
      <c r="AD56" s="4">
        <v>4849</v>
      </c>
      <c r="AE56" s="4">
        <v>4688</v>
      </c>
      <c r="AF56" s="4">
        <v>4537</v>
      </c>
      <c r="AG56" s="4">
        <v>4895</v>
      </c>
      <c r="AH56" s="4">
        <v>5153</v>
      </c>
      <c r="AI56" s="4">
        <v>5372</v>
      </c>
      <c r="AJ56" s="4">
        <v>5572</v>
      </c>
      <c r="AK56" s="4">
        <v>5966</v>
      </c>
      <c r="AL56" s="4">
        <v>6501</v>
      </c>
      <c r="AM56" s="4">
        <v>6848</v>
      </c>
      <c r="AN56" s="4">
        <v>6688</v>
      </c>
      <c r="AO56" s="4">
        <v>6560</v>
      </c>
      <c r="AP56" s="4">
        <v>6537</v>
      </c>
      <c r="AQ56" s="4">
        <v>7271</v>
      </c>
      <c r="AR56" s="4">
        <v>7382</v>
      </c>
      <c r="AS56" s="4">
        <v>7910</v>
      </c>
      <c r="AT56" s="4">
        <v>8284</v>
      </c>
      <c r="AU56" s="4">
        <v>7703</v>
      </c>
      <c r="AV56" s="4">
        <v>7650</v>
      </c>
      <c r="AW56" s="4">
        <v>7764</v>
      </c>
      <c r="AX56" s="4">
        <v>7693</v>
      </c>
      <c r="AY56" s="4">
        <v>7802</v>
      </c>
      <c r="AZ56" s="4">
        <v>7389</v>
      </c>
      <c r="BA56" s="4">
        <v>7610</v>
      </c>
      <c r="BB56" s="4">
        <v>7902</v>
      </c>
      <c r="BC56" s="4">
        <v>8423</v>
      </c>
      <c r="BD56" s="4">
        <v>8931</v>
      </c>
      <c r="BE56" s="4">
        <v>9833</v>
      </c>
      <c r="BF56" s="4">
        <v>9697</v>
      </c>
      <c r="BG56" s="4">
        <v>10165</v>
      </c>
      <c r="BH56" s="4">
        <v>10338</v>
      </c>
      <c r="BI56" s="4">
        <v>10884</v>
      </c>
      <c r="BJ56" s="4">
        <v>11309</v>
      </c>
    </row>
    <row r="57" spans="3:62" x14ac:dyDescent="0.2">
      <c r="C57" s="3" t="s">
        <v>76</v>
      </c>
      <c r="D57" s="4">
        <v>439</v>
      </c>
      <c r="E57" s="4">
        <v>454</v>
      </c>
      <c r="F57" s="4">
        <v>475</v>
      </c>
      <c r="G57" s="4">
        <v>545</v>
      </c>
      <c r="H57" s="4">
        <v>600</v>
      </c>
      <c r="I57" s="4">
        <v>627</v>
      </c>
      <c r="J57" s="4">
        <v>644</v>
      </c>
      <c r="K57" s="4">
        <v>812</v>
      </c>
      <c r="L57" s="4">
        <v>947</v>
      </c>
      <c r="M57" s="4">
        <v>961</v>
      </c>
      <c r="N57" s="4">
        <v>1093</v>
      </c>
      <c r="O57" s="4">
        <v>1186</v>
      </c>
      <c r="P57" s="4">
        <v>1308</v>
      </c>
      <c r="Q57" s="4">
        <v>1351</v>
      </c>
      <c r="R57" s="4">
        <v>1626</v>
      </c>
      <c r="S57" s="4">
        <v>1707</v>
      </c>
      <c r="T57" s="4">
        <v>1816</v>
      </c>
      <c r="U57" s="4">
        <v>1979</v>
      </c>
      <c r="V57" s="4">
        <v>2236</v>
      </c>
      <c r="W57" s="4">
        <v>2610</v>
      </c>
      <c r="X57" s="4">
        <v>2834</v>
      </c>
      <c r="Y57" s="4">
        <v>3020</v>
      </c>
      <c r="Z57" s="4">
        <v>3121</v>
      </c>
      <c r="AA57" s="4">
        <v>3184</v>
      </c>
      <c r="AB57" s="4">
        <v>3335</v>
      </c>
      <c r="AC57" s="4">
        <v>3333</v>
      </c>
      <c r="AD57" s="4">
        <v>3167</v>
      </c>
      <c r="AE57" s="4">
        <v>3632</v>
      </c>
      <c r="AF57" s="4">
        <v>3626</v>
      </c>
      <c r="AG57" s="4">
        <v>3771</v>
      </c>
      <c r="AH57" s="4">
        <v>3868</v>
      </c>
      <c r="AI57" s="4">
        <v>3830</v>
      </c>
      <c r="AJ57" s="4">
        <v>4092</v>
      </c>
      <c r="AK57" s="4">
        <v>4226</v>
      </c>
      <c r="AL57" s="4">
        <v>4058</v>
      </c>
      <c r="AM57" s="4">
        <v>4442</v>
      </c>
      <c r="AN57" s="4">
        <v>4071</v>
      </c>
      <c r="AO57" s="4">
        <v>3588</v>
      </c>
      <c r="AP57" s="4">
        <v>3635</v>
      </c>
      <c r="AQ57" s="4">
        <v>3696</v>
      </c>
      <c r="AR57" s="4">
        <v>4110</v>
      </c>
      <c r="AS57" s="4">
        <v>4649</v>
      </c>
      <c r="AT57" s="4">
        <v>5034</v>
      </c>
      <c r="AU57" s="4">
        <v>4375</v>
      </c>
      <c r="AV57" s="4">
        <v>4163</v>
      </c>
      <c r="AW57" s="4">
        <v>4390</v>
      </c>
      <c r="AX57" s="4">
        <v>4293</v>
      </c>
      <c r="AY57" s="4">
        <v>4057</v>
      </c>
      <c r="AZ57" s="4">
        <v>4295</v>
      </c>
      <c r="BA57" s="4">
        <v>4529</v>
      </c>
      <c r="BB57" s="4">
        <v>4487</v>
      </c>
      <c r="BC57" s="4">
        <v>4689</v>
      </c>
      <c r="BD57" s="4">
        <v>4793</v>
      </c>
      <c r="BE57" s="4">
        <v>5001</v>
      </c>
      <c r="BF57" s="4">
        <v>4978</v>
      </c>
      <c r="BG57" s="4">
        <v>5220</v>
      </c>
      <c r="BH57" s="4">
        <v>5851</v>
      </c>
      <c r="BI57" s="4">
        <v>6161</v>
      </c>
      <c r="BJ57" s="4">
        <v>6385</v>
      </c>
    </row>
    <row r="58" spans="3:62" x14ac:dyDescent="0.2">
      <c r="C58" s="3" t="s">
        <v>77</v>
      </c>
      <c r="D58" s="4">
        <v>1217</v>
      </c>
      <c r="E58" s="4">
        <v>1270</v>
      </c>
      <c r="F58" s="4">
        <v>1428</v>
      </c>
      <c r="G58" s="4">
        <v>1720</v>
      </c>
      <c r="H58" s="4">
        <v>2002</v>
      </c>
      <c r="I58" s="4">
        <v>2191</v>
      </c>
      <c r="J58" s="4">
        <v>2358</v>
      </c>
      <c r="K58" s="4">
        <v>2857</v>
      </c>
      <c r="L58" s="4">
        <v>3518</v>
      </c>
      <c r="M58" s="4">
        <v>3656</v>
      </c>
      <c r="N58" s="4">
        <v>4200</v>
      </c>
      <c r="O58" s="4">
        <v>4646</v>
      </c>
      <c r="P58" s="4">
        <v>5011</v>
      </c>
      <c r="Q58" s="4">
        <v>6016</v>
      </c>
      <c r="R58" s="4">
        <v>6762</v>
      </c>
      <c r="S58" s="4">
        <v>6839</v>
      </c>
      <c r="T58" s="4">
        <v>7428</v>
      </c>
      <c r="U58" s="4">
        <v>8311</v>
      </c>
      <c r="V58" s="4">
        <v>9464</v>
      </c>
      <c r="W58" s="4">
        <v>10882</v>
      </c>
      <c r="X58" s="4">
        <v>12003</v>
      </c>
      <c r="Y58" s="4">
        <v>11790</v>
      </c>
      <c r="Z58" s="4">
        <v>11640</v>
      </c>
      <c r="AA58" s="4">
        <v>12588</v>
      </c>
      <c r="AB58" s="4">
        <v>13310</v>
      </c>
      <c r="AC58" s="4">
        <v>13241</v>
      </c>
      <c r="AD58" s="4">
        <v>13716</v>
      </c>
      <c r="AE58" s="4">
        <v>13096</v>
      </c>
      <c r="AF58" s="4">
        <v>13624</v>
      </c>
      <c r="AG58" s="4">
        <v>15624</v>
      </c>
      <c r="AH58" s="4">
        <v>16573</v>
      </c>
      <c r="AI58" s="4">
        <v>17146</v>
      </c>
      <c r="AJ58" s="4">
        <v>18230</v>
      </c>
      <c r="AK58" s="4">
        <v>18637</v>
      </c>
      <c r="AL58" s="4">
        <v>19547</v>
      </c>
      <c r="AM58" s="4">
        <v>21458</v>
      </c>
      <c r="AN58" s="4">
        <v>22258</v>
      </c>
      <c r="AO58" s="4">
        <v>22180</v>
      </c>
      <c r="AP58" s="4">
        <v>22422</v>
      </c>
      <c r="AQ58" s="4">
        <v>22922</v>
      </c>
      <c r="AR58" s="4">
        <v>24104</v>
      </c>
      <c r="AS58" s="4">
        <v>26774</v>
      </c>
      <c r="AT58" s="4">
        <v>28291</v>
      </c>
      <c r="AU58" s="4">
        <v>24950</v>
      </c>
      <c r="AV58" s="4">
        <v>24344</v>
      </c>
      <c r="AW58" s="4">
        <v>25264</v>
      </c>
      <c r="AX58" s="4">
        <v>25388</v>
      </c>
      <c r="AY58" s="4">
        <v>24714</v>
      </c>
      <c r="AZ58" s="4">
        <v>24226</v>
      </c>
      <c r="BA58" s="4">
        <v>24881</v>
      </c>
      <c r="BB58" s="4">
        <v>25444</v>
      </c>
      <c r="BC58" s="4">
        <v>27114</v>
      </c>
      <c r="BD58" s="4">
        <v>26925</v>
      </c>
      <c r="BE58" s="4">
        <v>28318</v>
      </c>
      <c r="BF58" s="4">
        <v>27590</v>
      </c>
      <c r="BG58" s="4">
        <v>28264</v>
      </c>
      <c r="BH58" s="4">
        <v>32210</v>
      </c>
      <c r="BI58" s="4">
        <v>34640</v>
      </c>
      <c r="BJ58" s="4">
        <v>36497</v>
      </c>
    </row>
    <row r="59" spans="3:62" x14ac:dyDescent="0.2">
      <c r="C59" s="3" t="s">
        <v>78</v>
      </c>
      <c r="D59" s="4">
        <v>645</v>
      </c>
      <c r="E59" s="4">
        <v>666</v>
      </c>
      <c r="F59" s="4">
        <v>728</v>
      </c>
      <c r="G59" s="4">
        <v>850</v>
      </c>
      <c r="H59" s="4">
        <v>866</v>
      </c>
      <c r="I59" s="4">
        <v>985</v>
      </c>
      <c r="J59" s="4">
        <v>1124</v>
      </c>
      <c r="K59" s="4">
        <v>1358</v>
      </c>
      <c r="L59" s="4">
        <v>1572</v>
      </c>
      <c r="M59" s="4">
        <v>1870</v>
      </c>
      <c r="N59" s="4">
        <v>1908</v>
      </c>
      <c r="O59" s="4">
        <v>1868</v>
      </c>
      <c r="P59" s="4">
        <v>1895</v>
      </c>
      <c r="Q59" s="4">
        <v>1973</v>
      </c>
      <c r="R59" s="4">
        <v>2119</v>
      </c>
      <c r="S59" s="4">
        <v>2652</v>
      </c>
      <c r="T59" s="4">
        <v>2834</v>
      </c>
      <c r="U59" s="4">
        <v>3157</v>
      </c>
      <c r="V59" s="4">
        <v>3275</v>
      </c>
      <c r="W59" s="4">
        <v>3546</v>
      </c>
      <c r="X59" s="4">
        <v>3369</v>
      </c>
      <c r="Y59" s="4">
        <v>3428</v>
      </c>
      <c r="Z59" s="4">
        <v>3254</v>
      </c>
      <c r="AA59" s="4">
        <v>3147</v>
      </c>
      <c r="AB59" s="4">
        <v>3703</v>
      </c>
      <c r="AC59" s="4">
        <v>3782</v>
      </c>
      <c r="AD59" s="4">
        <v>4412</v>
      </c>
      <c r="AE59" s="4">
        <v>4165</v>
      </c>
      <c r="AF59" s="4">
        <v>4219</v>
      </c>
      <c r="AG59" s="4">
        <v>4901</v>
      </c>
      <c r="AH59" s="4">
        <v>4743</v>
      </c>
      <c r="AI59" s="4">
        <v>4541</v>
      </c>
      <c r="AJ59" s="4">
        <v>4523</v>
      </c>
      <c r="AK59" s="4">
        <v>4250</v>
      </c>
      <c r="AL59" s="4">
        <v>3987</v>
      </c>
      <c r="AM59" s="4">
        <v>4133</v>
      </c>
      <c r="AN59" s="4">
        <v>4143</v>
      </c>
      <c r="AO59" s="4">
        <v>3796</v>
      </c>
      <c r="AP59" s="4">
        <v>3445</v>
      </c>
      <c r="AQ59" s="4">
        <v>3764</v>
      </c>
      <c r="AR59" s="4">
        <v>3666</v>
      </c>
      <c r="AS59" s="4">
        <v>3778</v>
      </c>
      <c r="AT59" s="4">
        <v>3813</v>
      </c>
      <c r="AU59" s="4">
        <v>3162</v>
      </c>
      <c r="AV59" s="4">
        <v>2894</v>
      </c>
      <c r="AW59" s="4">
        <v>3178</v>
      </c>
      <c r="AX59" s="4">
        <v>2632</v>
      </c>
      <c r="AY59" s="4">
        <v>2358</v>
      </c>
      <c r="AZ59" s="4">
        <v>2458</v>
      </c>
      <c r="BA59" s="4">
        <v>2661</v>
      </c>
      <c r="BB59" s="4">
        <v>2758</v>
      </c>
      <c r="BC59" s="4">
        <v>2909</v>
      </c>
      <c r="BD59" s="4">
        <v>3142</v>
      </c>
      <c r="BE59" s="4">
        <v>3044</v>
      </c>
      <c r="BF59" s="4">
        <v>2977</v>
      </c>
      <c r="BG59" s="4">
        <v>3056</v>
      </c>
      <c r="BH59" s="4">
        <v>3289</v>
      </c>
      <c r="BI59" s="4">
        <v>3580</v>
      </c>
      <c r="BJ59" s="4">
        <v>3910</v>
      </c>
    </row>
    <row r="60" spans="3:62" x14ac:dyDescent="0.2">
      <c r="C60" s="3" t="s">
        <v>79</v>
      </c>
      <c r="D60" s="4">
        <v>827</v>
      </c>
      <c r="E60" s="4">
        <v>872</v>
      </c>
      <c r="F60" s="4">
        <v>957</v>
      </c>
      <c r="G60" s="4">
        <v>1098</v>
      </c>
      <c r="H60" s="4">
        <v>1201</v>
      </c>
      <c r="I60" s="4">
        <v>1289</v>
      </c>
      <c r="J60" s="4">
        <v>1498</v>
      </c>
      <c r="K60" s="4">
        <v>1796</v>
      </c>
      <c r="L60" s="4">
        <v>2148</v>
      </c>
      <c r="M60" s="4">
        <v>2251</v>
      </c>
      <c r="N60" s="4">
        <v>2635</v>
      </c>
      <c r="O60" s="4">
        <v>2886</v>
      </c>
      <c r="P60" s="4">
        <v>3106</v>
      </c>
      <c r="Q60" s="4">
        <v>3475</v>
      </c>
      <c r="R60" s="4">
        <v>3818</v>
      </c>
      <c r="S60" s="4">
        <v>4051</v>
      </c>
      <c r="T60" s="4">
        <v>4456</v>
      </c>
      <c r="U60" s="4">
        <v>4799</v>
      </c>
      <c r="V60" s="4">
        <v>5472</v>
      </c>
      <c r="W60" s="4">
        <v>6248</v>
      </c>
      <c r="X60" s="4">
        <v>7046</v>
      </c>
      <c r="Y60" s="4">
        <v>7253</v>
      </c>
      <c r="Z60" s="4">
        <v>7388</v>
      </c>
      <c r="AA60" s="4">
        <v>7698</v>
      </c>
      <c r="AB60" s="4">
        <v>8209</v>
      </c>
      <c r="AC60" s="4">
        <v>8470</v>
      </c>
      <c r="AD60" s="4">
        <v>8266</v>
      </c>
      <c r="AE60" s="4">
        <v>8547</v>
      </c>
      <c r="AF60" s="4">
        <v>8900</v>
      </c>
      <c r="AG60" s="4">
        <v>9150</v>
      </c>
      <c r="AH60" s="4">
        <v>9297</v>
      </c>
      <c r="AI60" s="4">
        <v>10128</v>
      </c>
      <c r="AJ60" s="4">
        <v>10414</v>
      </c>
      <c r="AK60" s="4">
        <v>10674</v>
      </c>
      <c r="AL60" s="4">
        <v>10993</v>
      </c>
      <c r="AM60" s="4">
        <v>11317</v>
      </c>
      <c r="AN60" s="4">
        <v>11273</v>
      </c>
      <c r="AO60" s="4">
        <v>11383</v>
      </c>
      <c r="AP60" s="4">
        <v>10958</v>
      </c>
      <c r="AQ60" s="4">
        <v>11516</v>
      </c>
      <c r="AR60" s="4">
        <v>11839</v>
      </c>
      <c r="AS60" s="4">
        <v>12166</v>
      </c>
      <c r="AT60" s="4">
        <v>12093</v>
      </c>
      <c r="AU60" s="4">
        <v>10898</v>
      </c>
      <c r="AV60" s="4">
        <v>9666</v>
      </c>
      <c r="AW60" s="4">
        <v>10837</v>
      </c>
      <c r="AX60" s="4">
        <v>11368</v>
      </c>
      <c r="AY60" s="4">
        <v>11519</v>
      </c>
      <c r="AZ60" s="4">
        <v>12228</v>
      </c>
      <c r="BA60" s="4">
        <v>12850</v>
      </c>
      <c r="BB60" s="4">
        <v>13783</v>
      </c>
      <c r="BC60" s="4">
        <v>13348</v>
      </c>
      <c r="BD60" s="4">
        <v>13256</v>
      </c>
      <c r="BE60" s="4">
        <v>13547</v>
      </c>
      <c r="BF60" s="4">
        <v>13489</v>
      </c>
      <c r="BG60" s="4">
        <v>14811</v>
      </c>
      <c r="BH60" s="4">
        <v>16870</v>
      </c>
      <c r="BI60" s="4">
        <v>18868</v>
      </c>
      <c r="BJ60" s="4">
        <v>20264</v>
      </c>
    </row>
    <row r="61" spans="3:62" x14ac:dyDescent="0.2">
      <c r="C61" s="3" t="s">
        <v>80</v>
      </c>
      <c r="D61" s="4">
        <v>292</v>
      </c>
      <c r="E61" s="4">
        <v>322</v>
      </c>
      <c r="F61" s="4">
        <v>351</v>
      </c>
      <c r="G61" s="4">
        <v>385</v>
      </c>
      <c r="H61" s="4">
        <v>425</v>
      </c>
      <c r="I61" s="4">
        <v>469</v>
      </c>
      <c r="J61" s="4">
        <v>518</v>
      </c>
      <c r="K61" s="4">
        <v>577</v>
      </c>
      <c r="L61" s="4">
        <v>673</v>
      </c>
      <c r="M61" s="4">
        <v>784</v>
      </c>
      <c r="N61" s="4">
        <v>884</v>
      </c>
      <c r="O61" s="4">
        <v>993</v>
      </c>
      <c r="P61" s="4">
        <v>1115</v>
      </c>
      <c r="Q61" s="4">
        <v>1231</v>
      </c>
      <c r="R61" s="4">
        <v>1336</v>
      </c>
      <c r="S61" s="4">
        <v>1514</v>
      </c>
      <c r="T61" s="4">
        <v>1671</v>
      </c>
      <c r="U61" s="4">
        <v>1812</v>
      </c>
      <c r="V61" s="4">
        <v>1819</v>
      </c>
      <c r="W61" s="4">
        <v>1902</v>
      </c>
      <c r="X61" s="4">
        <v>1987</v>
      </c>
      <c r="Y61" s="4">
        <v>2493</v>
      </c>
      <c r="Z61" s="4">
        <v>2670</v>
      </c>
      <c r="AA61" s="4">
        <v>2738</v>
      </c>
      <c r="AB61" s="4">
        <v>3192</v>
      </c>
      <c r="AC61" s="4">
        <v>3315</v>
      </c>
      <c r="AD61" s="4">
        <v>3670</v>
      </c>
      <c r="AE61" s="4">
        <v>3604</v>
      </c>
      <c r="AF61" s="4">
        <v>3521</v>
      </c>
      <c r="AG61" s="4">
        <v>3738</v>
      </c>
      <c r="AH61" s="4">
        <v>3802</v>
      </c>
      <c r="AI61" s="4">
        <v>3936</v>
      </c>
      <c r="AJ61" s="4">
        <v>3977</v>
      </c>
      <c r="AK61" s="4">
        <v>3944</v>
      </c>
      <c r="AL61" s="4">
        <v>4037</v>
      </c>
      <c r="AM61" s="4">
        <v>3665</v>
      </c>
      <c r="AN61" s="4">
        <v>3775</v>
      </c>
      <c r="AO61" s="4">
        <v>3855</v>
      </c>
      <c r="AP61" s="4">
        <v>3745</v>
      </c>
      <c r="AQ61" s="4">
        <v>3912</v>
      </c>
      <c r="AR61" s="4">
        <v>4363</v>
      </c>
      <c r="AS61" s="4">
        <v>4831</v>
      </c>
      <c r="AT61" s="4">
        <v>5442</v>
      </c>
      <c r="AU61" s="4">
        <v>6057</v>
      </c>
      <c r="AV61" s="4">
        <v>5660</v>
      </c>
      <c r="AW61" s="4">
        <v>5437</v>
      </c>
      <c r="AX61" s="4">
        <v>5842</v>
      </c>
      <c r="AY61" s="4">
        <v>5664</v>
      </c>
      <c r="AZ61" s="4">
        <v>5990</v>
      </c>
      <c r="BA61" s="4">
        <v>5696</v>
      </c>
      <c r="BB61" s="4">
        <v>5946</v>
      </c>
      <c r="BC61" s="4">
        <v>5573</v>
      </c>
      <c r="BD61" s="4">
        <v>6311</v>
      </c>
      <c r="BE61" s="4">
        <v>6950</v>
      </c>
      <c r="BF61" s="4">
        <v>7538</v>
      </c>
      <c r="BG61" s="4">
        <v>7888</v>
      </c>
      <c r="BH61" s="4">
        <v>9729</v>
      </c>
      <c r="BI61" s="4">
        <v>10709</v>
      </c>
      <c r="BJ61" s="4">
        <v>12164</v>
      </c>
    </row>
    <row r="62" spans="3:62" x14ac:dyDescent="0.2">
      <c r="C62" s="3" t="s">
        <v>81</v>
      </c>
      <c r="D62" s="4">
        <v>104</v>
      </c>
      <c r="E62" s="4">
        <v>120</v>
      </c>
      <c r="F62" s="4">
        <v>139</v>
      </c>
      <c r="G62" s="4">
        <v>160</v>
      </c>
      <c r="H62" s="4">
        <v>183</v>
      </c>
      <c r="I62" s="4">
        <v>222</v>
      </c>
      <c r="J62" s="4">
        <v>263</v>
      </c>
      <c r="K62" s="4">
        <v>319</v>
      </c>
      <c r="L62" s="4">
        <v>400</v>
      </c>
      <c r="M62" s="4">
        <v>469</v>
      </c>
      <c r="N62" s="4">
        <v>522</v>
      </c>
      <c r="O62" s="4">
        <v>595</v>
      </c>
      <c r="P62" s="4">
        <v>699</v>
      </c>
      <c r="Q62" s="4">
        <v>780</v>
      </c>
      <c r="R62" s="4">
        <v>901</v>
      </c>
      <c r="S62" s="4">
        <v>971</v>
      </c>
      <c r="T62" s="4">
        <v>1103</v>
      </c>
      <c r="U62" s="4">
        <v>1264</v>
      </c>
      <c r="V62" s="4">
        <v>1388</v>
      </c>
      <c r="W62" s="4">
        <v>1570</v>
      </c>
      <c r="X62" s="4">
        <v>1686</v>
      </c>
      <c r="Y62" s="4">
        <v>1916</v>
      </c>
      <c r="Z62" s="4">
        <v>2542</v>
      </c>
      <c r="AA62" s="4">
        <v>2717</v>
      </c>
      <c r="AB62" s="4">
        <v>3022</v>
      </c>
      <c r="AC62" s="4">
        <v>3282</v>
      </c>
      <c r="AD62" s="4">
        <v>3381</v>
      </c>
      <c r="AE62" s="4">
        <v>2639</v>
      </c>
      <c r="AF62" s="4">
        <v>2547</v>
      </c>
      <c r="AG62" s="4">
        <v>3025</v>
      </c>
      <c r="AH62" s="4">
        <v>3204</v>
      </c>
      <c r="AI62" s="4">
        <v>3284</v>
      </c>
      <c r="AJ62" s="4">
        <v>3338</v>
      </c>
      <c r="AK62" s="4">
        <v>3432</v>
      </c>
      <c r="AL62" s="4">
        <v>3156</v>
      </c>
      <c r="AM62" s="4">
        <v>3402</v>
      </c>
      <c r="AN62" s="4">
        <v>3859</v>
      </c>
      <c r="AO62" s="4">
        <v>3655</v>
      </c>
      <c r="AP62" s="4">
        <v>3882</v>
      </c>
      <c r="AQ62" s="4">
        <v>4125</v>
      </c>
      <c r="AR62" s="4">
        <v>4181</v>
      </c>
      <c r="AS62" s="4">
        <v>4299</v>
      </c>
      <c r="AT62" s="4">
        <v>4577</v>
      </c>
      <c r="AU62" s="4">
        <v>4508</v>
      </c>
      <c r="AV62" s="4">
        <v>4380</v>
      </c>
      <c r="AW62" s="4">
        <v>4530</v>
      </c>
      <c r="AX62" s="4">
        <v>4482</v>
      </c>
      <c r="AY62" s="4">
        <v>4203</v>
      </c>
      <c r="AZ62" s="4">
        <v>4538</v>
      </c>
      <c r="BA62" s="4">
        <v>4729</v>
      </c>
      <c r="BB62" s="4">
        <v>4906</v>
      </c>
      <c r="BC62" s="4">
        <v>4969</v>
      </c>
      <c r="BD62" s="4">
        <v>4809</v>
      </c>
      <c r="BE62" s="4">
        <v>5094</v>
      </c>
      <c r="BF62" s="4">
        <v>5362</v>
      </c>
      <c r="BG62" s="4">
        <v>5942</v>
      </c>
      <c r="BH62" s="4">
        <v>6597</v>
      </c>
      <c r="BI62" s="4">
        <v>7236</v>
      </c>
      <c r="BJ62" s="4">
        <v>7770</v>
      </c>
    </row>
    <row r="63" spans="3:62" x14ac:dyDescent="0.2">
      <c r="C63" s="3" t="s">
        <v>82</v>
      </c>
      <c r="D63" s="4">
        <v>4880</v>
      </c>
      <c r="E63" s="4">
        <v>5488</v>
      </c>
      <c r="F63" s="4">
        <v>6269</v>
      </c>
      <c r="G63" s="4">
        <v>7231</v>
      </c>
      <c r="H63" s="4">
        <v>8107</v>
      </c>
      <c r="I63" s="4">
        <v>8662</v>
      </c>
      <c r="J63" s="4">
        <v>8897</v>
      </c>
      <c r="K63" s="4">
        <v>9873</v>
      </c>
      <c r="L63" s="4">
        <v>10388</v>
      </c>
      <c r="M63" s="4">
        <v>10613</v>
      </c>
      <c r="N63" s="4">
        <v>12695</v>
      </c>
      <c r="O63" s="4">
        <v>13374</v>
      </c>
      <c r="P63" s="4">
        <v>14809</v>
      </c>
      <c r="Q63" s="4">
        <v>16473</v>
      </c>
      <c r="R63" s="4">
        <v>16817</v>
      </c>
      <c r="S63" s="4">
        <v>15849</v>
      </c>
      <c r="T63" s="4">
        <v>16920</v>
      </c>
      <c r="U63" s="4">
        <v>18521</v>
      </c>
      <c r="V63" s="4">
        <v>20915</v>
      </c>
      <c r="W63" s="4">
        <v>23391</v>
      </c>
      <c r="X63" s="4">
        <v>27532</v>
      </c>
      <c r="Y63" s="4">
        <v>29718</v>
      </c>
      <c r="Z63" s="4">
        <v>30091</v>
      </c>
      <c r="AA63" s="4">
        <v>29610</v>
      </c>
      <c r="AB63" s="4">
        <v>29741</v>
      </c>
      <c r="AC63" s="4">
        <v>28948</v>
      </c>
      <c r="AD63" s="4">
        <v>29019</v>
      </c>
      <c r="AE63" s="4">
        <v>28648</v>
      </c>
      <c r="AF63" s="4">
        <v>30614</v>
      </c>
      <c r="AG63" s="4">
        <v>33068</v>
      </c>
      <c r="AH63" s="4">
        <v>33949</v>
      </c>
      <c r="AI63" s="4">
        <v>36690</v>
      </c>
      <c r="AJ63" s="4">
        <v>38937</v>
      </c>
      <c r="AK63" s="4">
        <v>41508</v>
      </c>
      <c r="AL63" s="4">
        <v>43991</v>
      </c>
      <c r="AM63" s="4">
        <v>45307</v>
      </c>
      <c r="AN63" s="4">
        <v>45277</v>
      </c>
      <c r="AO63" s="4">
        <v>46146</v>
      </c>
      <c r="AP63" s="4">
        <v>47498</v>
      </c>
      <c r="AQ63" s="4">
        <v>52476</v>
      </c>
      <c r="AR63" s="4">
        <v>58164</v>
      </c>
      <c r="AS63" s="4">
        <v>62666</v>
      </c>
      <c r="AT63" s="4">
        <v>65157</v>
      </c>
      <c r="AU63" s="4">
        <v>58239</v>
      </c>
      <c r="AV63" s="4">
        <v>54349</v>
      </c>
      <c r="AW63" s="4">
        <v>55858</v>
      </c>
      <c r="AX63" s="4">
        <v>56314</v>
      </c>
      <c r="AY63" s="4">
        <v>55714</v>
      </c>
      <c r="AZ63" s="4">
        <v>58030</v>
      </c>
      <c r="BA63" s="4">
        <v>61566</v>
      </c>
      <c r="BB63" s="4">
        <v>65773</v>
      </c>
      <c r="BC63" s="4">
        <v>69554</v>
      </c>
      <c r="BD63" s="4">
        <v>73244</v>
      </c>
      <c r="BE63" s="4">
        <v>76613</v>
      </c>
      <c r="BF63" s="4">
        <v>79872</v>
      </c>
      <c r="BG63" s="4">
        <v>85159</v>
      </c>
      <c r="BH63" s="4">
        <v>91995</v>
      </c>
      <c r="BI63" s="4">
        <v>95568</v>
      </c>
      <c r="BJ63" s="4">
        <v>100628</v>
      </c>
    </row>
    <row r="64" spans="3:62" x14ac:dyDescent="0.2">
      <c r="C64" s="3" t="s">
        <v>83</v>
      </c>
      <c r="D64" s="4">
        <v>5879</v>
      </c>
      <c r="E64" s="4">
        <v>6770</v>
      </c>
      <c r="F64" s="4">
        <v>7348</v>
      </c>
      <c r="G64" s="4">
        <v>8357</v>
      </c>
      <c r="H64" s="4">
        <v>9358</v>
      </c>
      <c r="I64" s="4">
        <v>10363</v>
      </c>
      <c r="J64" s="4">
        <v>11332</v>
      </c>
      <c r="K64" s="4">
        <v>13098</v>
      </c>
      <c r="L64" s="4">
        <v>15250</v>
      </c>
      <c r="M64" s="4">
        <v>17457</v>
      </c>
      <c r="N64" s="4">
        <v>20148</v>
      </c>
      <c r="O64" s="4">
        <v>23040</v>
      </c>
      <c r="P64" s="4">
        <v>25289</v>
      </c>
      <c r="Q64" s="4">
        <v>27057</v>
      </c>
      <c r="R64" s="4">
        <v>28840</v>
      </c>
      <c r="S64" s="4">
        <v>29386</v>
      </c>
      <c r="T64" s="4">
        <v>32586</v>
      </c>
      <c r="U64" s="4">
        <v>35455</v>
      </c>
      <c r="V64" s="4">
        <v>39182</v>
      </c>
      <c r="W64" s="4">
        <v>43734</v>
      </c>
      <c r="X64" s="4">
        <v>48536</v>
      </c>
      <c r="Y64" s="4">
        <v>52964</v>
      </c>
      <c r="Z64" s="4">
        <v>54703</v>
      </c>
      <c r="AA64" s="4">
        <v>56411</v>
      </c>
      <c r="AB64" s="4">
        <v>58859</v>
      </c>
      <c r="AC64" s="4">
        <v>60420</v>
      </c>
      <c r="AD64" s="4">
        <v>62660</v>
      </c>
      <c r="AE64" s="4">
        <v>63332</v>
      </c>
      <c r="AF64" s="4">
        <v>65568</v>
      </c>
      <c r="AG64" s="4">
        <v>69613</v>
      </c>
      <c r="AH64" s="4">
        <v>75737</v>
      </c>
      <c r="AI64" s="4">
        <v>80770</v>
      </c>
      <c r="AJ64" s="4">
        <v>86625</v>
      </c>
      <c r="AK64" s="4">
        <v>90896</v>
      </c>
      <c r="AL64" s="4">
        <v>93741</v>
      </c>
      <c r="AM64" s="4">
        <v>96481</v>
      </c>
      <c r="AN64" s="4">
        <v>98523</v>
      </c>
      <c r="AO64" s="4">
        <v>101239</v>
      </c>
      <c r="AP64" s="4">
        <v>104631</v>
      </c>
      <c r="AQ64" s="4">
        <v>113427</v>
      </c>
      <c r="AR64" s="4">
        <v>119692</v>
      </c>
      <c r="AS64" s="4">
        <v>130058</v>
      </c>
      <c r="AT64" s="4">
        <v>136202</v>
      </c>
      <c r="AU64" s="4">
        <v>130626</v>
      </c>
      <c r="AV64" s="4">
        <v>131785</v>
      </c>
      <c r="AW64" s="4">
        <v>136644</v>
      </c>
      <c r="AX64" s="4">
        <v>139067</v>
      </c>
      <c r="AY64" s="4">
        <v>140289</v>
      </c>
      <c r="AZ64" s="4">
        <v>144836</v>
      </c>
      <c r="BA64" s="4">
        <v>149317</v>
      </c>
      <c r="BB64" s="4">
        <v>153391</v>
      </c>
      <c r="BC64" s="4">
        <v>160297</v>
      </c>
      <c r="BD64" s="4">
        <v>167971</v>
      </c>
      <c r="BE64" s="4">
        <v>175589</v>
      </c>
      <c r="BF64" s="4">
        <v>176523</v>
      </c>
      <c r="BG64" s="4">
        <v>187641</v>
      </c>
      <c r="BH64" s="4">
        <v>204167</v>
      </c>
      <c r="BI64" s="4">
        <v>207808</v>
      </c>
      <c r="BJ64" s="4">
        <v>213831</v>
      </c>
    </row>
    <row r="65" spans="3:62" x14ac:dyDescent="0.2">
      <c r="C65" s="3" t="s">
        <v>84</v>
      </c>
      <c r="D65" s="4">
        <v>2829</v>
      </c>
      <c r="E65" s="4">
        <v>3051</v>
      </c>
      <c r="F65" s="4">
        <v>3410</v>
      </c>
      <c r="G65" s="4">
        <v>3711</v>
      </c>
      <c r="H65" s="4">
        <v>4038</v>
      </c>
      <c r="I65" s="4">
        <v>4531</v>
      </c>
      <c r="J65" s="4">
        <v>5020</v>
      </c>
      <c r="K65" s="4">
        <v>5612</v>
      </c>
      <c r="L65" s="4">
        <v>6738</v>
      </c>
      <c r="M65" s="4">
        <v>7685</v>
      </c>
      <c r="N65" s="4">
        <v>8749</v>
      </c>
      <c r="O65" s="4">
        <v>9669</v>
      </c>
      <c r="P65" s="4">
        <v>10336</v>
      </c>
      <c r="Q65" s="4">
        <v>11364</v>
      </c>
      <c r="R65" s="4">
        <v>12829</v>
      </c>
      <c r="S65" s="4">
        <v>14379</v>
      </c>
      <c r="T65" s="4">
        <v>16855</v>
      </c>
      <c r="U65" s="4">
        <v>18307</v>
      </c>
      <c r="V65" s="4">
        <v>19897</v>
      </c>
      <c r="W65" s="4">
        <v>21284</v>
      </c>
      <c r="X65" s="4">
        <v>22219</v>
      </c>
      <c r="Y65" s="4">
        <v>24775</v>
      </c>
      <c r="Z65" s="4">
        <v>26125</v>
      </c>
      <c r="AA65" s="4">
        <v>26882</v>
      </c>
      <c r="AB65" s="4">
        <v>28365</v>
      </c>
      <c r="AC65" s="4">
        <v>29659</v>
      </c>
      <c r="AD65" s="4">
        <v>30936</v>
      </c>
      <c r="AE65" s="4">
        <v>30222</v>
      </c>
      <c r="AF65" s="4">
        <v>31252</v>
      </c>
      <c r="AG65" s="4">
        <v>31930</v>
      </c>
      <c r="AH65" s="4">
        <v>33607</v>
      </c>
      <c r="AI65" s="4">
        <v>34760</v>
      </c>
      <c r="AJ65" s="4">
        <v>36069</v>
      </c>
      <c r="AK65" s="4">
        <v>37423</v>
      </c>
      <c r="AL65" s="4">
        <v>38331</v>
      </c>
      <c r="AM65" s="4">
        <v>39745</v>
      </c>
      <c r="AN65" s="4">
        <v>41856</v>
      </c>
      <c r="AO65" s="4">
        <v>42297</v>
      </c>
      <c r="AP65" s="4">
        <v>43054</v>
      </c>
      <c r="AQ65" s="4">
        <v>44019</v>
      </c>
      <c r="AR65" s="4">
        <v>47486</v>
      </c>
      <c r="AS65" s="4">
        <v>51207</v>
      </c>
      <c r="AT65" s="4">
        <v>55058</v>
      </c>
      <c r="AU65" s="4">
        <v>53274</v>
      </c>
      <c r="AV65" s="4">
        <v>53520</v>
      </c>
      <c r="AW65" s="4">
        <v>53383</v>
      </c>
      <c r="AX65" s="4">
        <v>52711</v>
      </c>
      <c r="AY65" s="4">
        <v>52766</v>
      </c>
      <c r="AZ65" s="4">
        <v>53382</v>
      </c>
      <c r="BA65" s="4">
        <v>55296</v>
      </c>
      <c r="BB65" s="4">
        <v>57080</v>
      </c>
      <c r="BC65" s="4">
        <v>57737</v>
      </c>
      <c r="BD65" s="4">
        <v>58517</v>
      </c>
      <c r="BE65" s="4">
        <v>59342</v>
      </c>
      <c r="BF65" s="4">
        <v>58242</v>
      </c>
      <c r="BG65" s="4">
        <v>60085</v>
      </c>
      <c r="BH65" s="4">
        <v>67386</v>
      </c>
      <c r="BI65" s="4">
        <v>71821</v>
      </c>
      <c r="BJ65" s="4">
        <v>73952</v>
      </c>
    </row>
    <row r="66" spans="3:62" x14ac:dyDescent="0.2">
      <c r="C66" s="3" t="s">
        <v>85</v>
      </c>
      <c r="D66" s="4">
        <v>612</v>
      </c>
      <c r="E66" s="4">
        <v>678</v>
      </c>
      <c r="F66" s="4">
        <v>770</v>
      </c>
      <c r="G66" s="4">
        <v>865</v>
      </c>
      <c r="H66" s="4">
        <v>970</v>
      </c>
      <c r="I66" s="4">
        <v>1074</v>
      </c>
      <c r="J66" s="4">
        <v>1153</v>
      </c>
      <c r="K66" s="4">
        <v>1334</v>
      </c>
      <c r="L66" s="4">
        <v>1567</v>
      </c>
      <c r="M66" s="4">
        <v>1774</v>
      </c>
      <c r="N66" s="4">
        <v>2056</v>
      </c>
      <c r="O66" s="4">
        <v>2146</v>
      </c>
      <c r="P66" s="4">
        <v>2391</v>
      </c>
      <c r="Q66" s="4">
        <v>2563</v>
      </c>
      <c r="R66" s="4">
        <v>2808</v>
      </c>
      <c r="S66" s="4">
        <v>3000</v>
      </c>
      <c r="T66" s="4">
        <v>3376</v>
      </c>
      <c r="U66" s="4">
        <v>4003</v>
      </c>
      <c r="V66" s="4">
        <v>4423</v>
      </c>
      <c r="W66" s="4">
        <v>5109</v>
      </c>
      <c r="X66" s="4">
        <v>5434</v>
      </c>
      <c r="Y66" s="4">
        <v>6088</v>
      </c>
      <c r="Z66" s="4">
        <v>6292</v>
      </c>
      <c r="AA66" s="4">
        <v>6658</v>
      </c>
      <c r="AB66" s="4">
        <v>7037</v>
      </c>
      <c r="AC66" s="4">
        <v>7348</v>
      </c>
      <c r="AD66" s="4">
        <v>7630</v>
      </c>
      <c r="AE66" s="4">
        <v>7744</v>
      </c>
      <c r="AF66" s="4">
        <v>8319</v>
      </c>
      <c r="AG66" s="4">
        <v>8694</v>
      </c>
      <c r="AH66" s="4">
        <v>9166</v>
      </c>
      <c r="AI66" s="4">
        <v>9596</v>
      </c>
      <c r="AJ66" s="4">
        <v>10006</v>
      </c>
      <c r="AK66" s="4">
        <v>10185</v>
      </c>
      <c r="AL66" s="4">
        <v>10314</v>
      </c>
      <c r="AM66" s="4">
        <v>10764</v>
      </c>
      <c r="AN66" s="4">
        <v>11225</v>
      </c>
      <c r="AO66" s="4">
        <v>11465</v>
      </c>
      <c r="AP66" s="4">
        <v>12181</v>
      </c>
      <c r="AQ66" s="4">
        <v>13158</v>
      </c>
      <c r="AR66" s="4">
        <v>14284</v>
      </c>
      <c r="AS66" s="4">
        <v>15435</v>
      </c>
      <c r="AT66" s="4">
        <v>16651</v>
      </c>
      <c r="AU66" s="4">
        <v>16122</v>
      </c>
      <c r="AV66" s="4">
        <v>15975</v>
      </c>
      <c r="AW66" s="4">
        <v>17095</v>
      </c>
      <c r="AX66" s="4">
        <v>17582</v>
      </c>
      <c r="AY66" s="4">
        <v>18200</v>
      </c>
      <c r="AZ66" s="4">
        <v>19056</v>
      </c>
      <c r="BA66" s="4">
        <v>20145</v>
      </c>
      <c r="BB66" s="4">
        <v>21648</v>
      </c>
      <c r="BC66" s="4">
        <v>23033</v>
      </c>
      <c r="BD66" s="4">
        <v>24133</v>
      </c>
      <c r="BE66" s="4">
        <v>25367</v>
      </c>
      <c r="BF66" s="4">
        <v>23483</v>
      </c>
      <c r="BG66" s="4">
        <v>24992</v>
      </c>
      <c r="BH66" s="4">
        <v>30235</v>
      </c>
      <c r="BI66" s="4">
        <v>31921</v>
      </c>
      <c r="BJ66" s="4">
        <v>33232</v>
      </c>
    </row>
    <row r="67" spans="3:62" x14ac:dyDescent="0.2">
      <c r="C67" s="3" t="s">
        <v>86</v>
      </c>
      <c r="D67" s="4">
        <v>617</v>
      </c>
      <c r="E67" s="4">
        <v>685</v>
      </c>
      <c r="F67" s="4">
        <v>766</v>
      </c>
      <c r="G67" s="4">
        <v>854</v>
      </c>
      <c r="H67" s="4">
        <v>945</v>
      </c>
      <c r="I67" s="4">
        <v>1051</v>
      </c>
      <c r="J67" s="4">
        <v>1162</v>
      </c>
      <c r="K67" s="4">
        <v>1313</v>
      </c>
      <c r="L67" s="4">
        <v>1595</v>
      </c>
      <c r="M67" s="4">
        <v>1800</v>
      </c>
      <c r="N67" s="4">
        <v>2033</v>
      </c>
      <c r="O67" s="4">
        <v>2273</v>
      </c>
      <c r="P67" s="4">
        <v>2675</v>
      </c>
      <c r="Q67" s="4">
        <v>2957</v>
      </c>
      <c r="R67" s="4">
        <v>3253</v>
      </c>
      <c r="S67" s="4">
        <v>2968</v>
      </c>
      <c r="T67" s="4">
        <v>3759</v>
      </c>
      <c r="U67" s="4">
        <v>4265</v>
      </c>
      <c r="V67" s="4">
        <v>4480</v>
      </c>
      <c r="W67" s="4">
        <v>4713</v>
      </c>
      <c r="X67" s="4">
        <v>5138</v>
      </c>
      <c r="Y67" s="4">
        <v>5554</v>
      </c>
      <c r="Z67" s="4">
        <v>6051</v>
      </c>
      <c r="AA67" s="4">
        <v>6413</v>
      </c>
      <c r="AB67" s="4">
        <v>6614</v>
      </c>
      <c r="AC67" s="4">
        <v>6908</v>
      </c>
      <c r="AD67" s="4">
        <v>6980</v>
      </c>
      <c r="AE67" s="4">
        <v>7055</v>
      </c>
      <c r="AF67" s="4">
        <v>7237</v>
      </c>
      <c r="AG67" s="4">
        <v>7666</v>
      </c>
      <c r="AH67" s="4">
        <v>8172</v>
      </c>
      <c r="AI67" s="4">
        <v>8628</v>
      </c>
      <c r="AJ67" s="4">
        <v>9151</v>
      </c>
      <c r="AK67" s="4">
        <v>9845</v>
      </c>
      <c r="AL67" s="4">
        <v>10240</v>
      </c>
      <c r="AM67" s="4">
        <v>10557</v>
      </c>
      <c r="AN67" s="4">
        <v>10817</v>
      </c>
      <c r="AO67" s="4">
        <v>10732</v>
      </c>
      <c r="AP67" s="4">
        <v>11187</v>
      </c>
      <c r="AQ67" s="4">
        <v>11556</v>
      </c>
      <c r="AR67" s="4">
        <v>12517</v>
      </c>
      <c r="AS67" s="4">
        <v>13355</v>
      </c>
      <c r="AT67" s="4">
        <v>13383</v>
      </c>
      <c r="AU67" s="4">
        <v>13216</v>
      </c>
      <c r="AV67" s="4">
        <v>13218</v>
      </c>
      <c r="AW67" s="4">
        <v>13283</v>
      </c>
      <c r="AX67" s="4">
        <v>13092</v>
      </c>
      <c r="AY67" s="4">
        <v>13279</v>
      </c>
      <c r="AZ67" s="4">
        <v>13759</v>
      </c>
      <c r="BA67" s="4">
        <v>14379</v>
      </c>
      <c r="BB67" s="4">
        <v>14730</v>
      </c>
      <c r="BC67" s="4">
        <v>14977</v>
      </c>
      <c r="BD67" s="4">
        <v>15166</v>
      </c>
      <c r="BE67" s="4">
        <v>15730</v>
      </c>
      <c r="BF67" s="4">
        <v>16180</v>
      </c>
      <c r="BG67" s="4">
        <v>17344</v>
      </c>
      <c r="BH67" s="4">
        <v>18252</v>
      </c>
      <c r="BI67" s="4">
        <v>18755</v>
      </c>
      <c r="BJ67" s="4">
        <v>19043</v>
      </c>
    </row>
    <row r="68" spans="3:62" x14ac:dyDescent="0.2">
      <c r="C68" s="3" t="s">
        <v>87</v>
      </c>
      <c r="D68" s="4">
        <v>300</v>
      </c>
      <c r="E68" s="4">
        <v>321</v>
      </c>
      <c r="F68" s="4">
        <v>351</v>
      </c>
      <c r="G68" s="4">
        <v>361</v>
      </c>
      <c r="H68" s="4">
        <v>403</v>
      </c>
      <c r="I68" s="4">
        <v>440</v>
      </c>
      <c r="J68" s="4">
        <v>480</v>
      </c>
      <c r="K68" s="4">
        <v>582</v>
      </c>
      <c r="L68" s="4">
        <v>712</v>
      </c>
      <c r="M68" s="4">
        <v>834</v>
      </c>
      <c r="N68" s="4">
        <v>976</v>
      </c>
      <c r="O68" s="4">
        <v>1066</v>
      </c>
      <c r="P68" s="4">
        <v>1198</v>
      </c>
      <c r="Q68" s="4">
        <v>1382</v>
      </c>
      <c r="R68" s="4">
        <v>1708</v>
      </c>
      <c r="S68" s="4">
        <v>1931</v>
      </c>
      <c r="T68" s="4">
        <v>2215</v>
      </c>
      <c r="U68" s="4">
        <v>2432</v>
      </c>
      <c r="V68" s="4">
        <v>2607</v>
      </c>
      <c r="W68" s="4">
        <v>2827</v>
      </c>
      <c r="X68" s="4">
        <v>2936</v>
      </c>
      <c r="Y68" s="4">
        <v>3166</v>
      </c>
      <c r="Z68" s="4">
        <v>3652</v>
      </c>
      <c r="AA68" s="4">
        <v>3834</v>
      </c>
      <c r="AB68" s="4">
        <v>3833</v>
      </c>
      <c r="AC68" s="4">
        <v>4081</v>
      </c>
      <c r="AD68" s="4">
        <v>4450</v>
      </c>
      <c r="AE68" s="4">
        <v>4205</v>
      </c>
      <c r="AF68" s="4">
        <v>4095</v>
      </c>
      <c r="AG68" s="4">
        <v>3853</v>
      </c>
      <c r="AH68" s="4">
        <v>4746</v>
      </c>
      <c r="AI68" s="4">
        <v>5325</v>
      </c>
      <c r="AJ68" s="4">
        <v>5993</v>
      </c>
      <c r="AK68" s="4">
        <v>6362</v>
      </c>
      <c r="AL68" s="4">
        <v>7101</v>
      </c>
      <c r="AM68" s="4">
        <v>7839</v>
      </c>
      <c r="AN68" s="4">
        <v>7941</v>
      </c>
      <c r="AO68" s="4">
        <v>8529</v>
      </c>
      <c r="AP68" s="4">
        <v>8349</v>
      </c>
      <c r="AQ68" s="4">
        <v>8157</v>
      </c>
      <c r="AR68" s="4">
        <v>8360</v>
      </c>
      <c r="AS68" s="4">
        <v>8210</v>
      </c>
      <c r="AT68" s="4">
        <v>8424</v>
      </c>
      <c r="AU68" s="4">
        <v>8338</v>
      </c>
      <c r="AV68" s="4">
        <v>8124</v>
      </c>
      <c r="AW68" s="4">
        <v>8165</v>
      </c>
      <c r="AX68" s="4">
        <v>7696</v>
      </c>
      <c r="AY68" s="4">
        <v>7521</v>
      </c>
      <c r="AZ68" s="4">
        <v>7224</v>
      </c>
      <c r="BA68" s="4">
        <v>7367</v>
      </c>
      <c r="BB68" s="4">
        <v>7341</v>
      </c>
      <c r="BC68" s="4">
        <v>7459</v>
      </c>
      <c r="BD68" s="4">
        <v>8072</v>
      </c>
      <c r="BE68" s="4">
        <v>8251</v>
      </c>
      <c r="BF68" s="4">
        <v>8521</v>
      </c>
      <c r="BG68" s="4">
        <v>8367</v>
      </c>
      <c r="BH68" s="4">
        <v>8599</v>
      </c>
      <c r="BI68" s="4">
        <v>8637</v>
      </c>
      <c r="BJ68" s="4">
        <v>8749</v>
      </c>
    </row>
    <row r="69" spans="3:62" x14ac:dyDescent="0.2">
      <c r="C69" s="3" t="s">
        <v>88</v>
      </c>
      <c r="D69" s="4">
        <v>24</v>
      </c>
      <c r="E69" s="4">
        <v>56</v>
      </c>
      <c r="F69" s="4">
        <v>73</v>
      </c>
      <c r="G69" s="4">
        <v>98</v>
      </c>
      <c r="H69" s="4">
        <v>127</v>
      </c>
      <c r="I69" s="4">
        <v>161</v>
      </c>
      <c r="J69" s="4">
        <v>213</v>
      </c>
      <c r="K69" s="4">
        <v>266</v>
      </c>
      <c r="L69" s="4">
        <v>331</v>
      </c>
      <c r="M69" s="4">
        <v>410</v>
      </c>
      <c r="N69" s="4">
        <v>498</v>
      </c>
      <c r="O69" s="4">
        <v>596</v>
      </c>
      <c r="P69" s="4">
        <v>745</v>
      </c>
      <c r="Q69" s="4">
        <v>951</v>
      </c>
      <c r="R69" s="4">
        <v>1111</v>
      </c>
      <c r="S69" s="4">
        <v>1310</v>
      </c>
      <c r="T69" s="4">
        <v>1532</v>
      </c>
      <c r="U69" s="4">
        <v>1981</v>
      </c>
      <c r="V69" s="4">
        <v>2241</v>
      </c>
      <c r="W69" s="4">
        <v>2537</v>
      </c>
      <c r="X69" s="4">
        <v>2968</v>
      </c>
      <c r="Y69" s="4">
        <v>3627</v>
      </c>
      <c r="Z69" s="4">
        <v>3915</v>
      </c>
      <c r="AA69" s="4">
        <v>4404</v>
      </c>
      <c r="AB69" s="4">
        <v>4665</v>
      </c>
      <c r="AC69" s="4">
        <v>4905</v>
      </c>
      <c r="AD69" s="4">
        <v>4820</v>
      </c>
      <c r="AE69" s="4">
        <v>4784</v>
      </c>
      <c r="AF69" s="4">
        <v>5235</v>
      </c>
      <c r="AG69" s="4">
        <v>5474</v>
      </c>
      <c r="AH69" s="4">
        <v>5524</v>
      </c>
      <c r="AI69" s="4">
        <v>5990</v>
      </c>
      <c r="AJ69" s="4">
        <v>7018</v>
      </c>
      <c r="AK69" s="4">
        <v>9067</v>
      </c>
      <c r="AL69" s="4">
        <v>11454</v>
      </c>
      <c r="AM69" s="4">
        <v>13706</v>
      </c>
      <c r="AN69" s="4">
        <v>15794</v>
      </c>
      <c r="AO69" s="4">
        <v>15188</v>
      </c>
      <c r="AP69" s="4">
        <v>16507</v>
      </c>
      <c r="AQ69" s="4">
        <v>16848</v>
      </c>
      <c r="AR69" s="4">
        <v>19390</v>
      </c>
      <c r="AS69" s="4">
        <v>21436</v>
      </c>
      <c r="AT69" s="4">
        <v>23529</v>
      </c>
      <c r="AU69" s="4">
        <v>24453</v>
      </c>
      <c r="AV69" s="4">
        <v>25558</v>
      </c>
      <c r="AW69" s="4">
        <v>24783</v>
      </c>
      <c r="AX69" s="4">
        <v>25233</v>
      </c>
      <c r="AY69" s="4">
        <v>25264</v>
      </c>
      <c r="AZ69" s="4">
        <v>25921</v>
      </c>
      <c r="BA69" s="4">
        <v>27205</v>
      </c>
      <c r="BB69" s="4">
        <v>28719</v>
      </c>
      <c r="BC69" s="4">
        <v>29306</v>
      </c>
      <c r="BD69" s="4">
        <v>31290</v>
      </c>
      <c r="BE69" s="4">
        <v>33194</v>
      </c>
      <c r="BF69" s="4">
        <v>34837</v>
      </c>
      <c r="BG69" s="4">
        <v>37114</v>
      </c>
      <c r="BH69" s="4">
        <v>39936</v>
      </c>
      <c r="BI69" s="4">
        <v>43223</v>
      </c>
      <c r="BJ69" s="4">
        <v>45300</v>
      </c>
    </row>
    <row r="70" spans="3:62" x14ac:dyDescent="0.2">
      <c r="C70" s="3" t="s">
        <v>89</v>
      </c>
      <c r="D70" s="4">
        <v>1143</v>
      </c>
      <c r="E70" s="4">
        <v>1260</v>
      </c>
      <c r="F70" s="4">
        <v>1426</v>
      </c>
      <c r="G70" s="4">
        <v>1640</v>
      </c>
      <c r="H70" s="4">
        <v>1827</v>
      </c>
      <c r="I70" s="4">
        <v>2143</v>
      </c>
      <c r="J70" s="4">
        <v>2437</v>
      </c>
      <c r="K70" s="4">
        <v>2820</v>
      </c>
      <c r="L70" s="4">
        <v>3493</v>
      </c>
      <c r="M70" s="4">
        <v>4201</v>
      </c>
      <c r="N70" s="4">
        <v>4531</v>
      </c>
      <c r="O70" s="4">
        <v>5109</v>
      </c>
      <c r="P70" s="4">
        <v>5651</v>
      </c>
      <c r="Q70" s="4">
        <v>6626</v>
      </c>
      <c r="R70" s="4">
        <v>7487</v>
      </c>
      <c r="S70" s="4">
        <v>8512</v>
      </c>
      <c r="T70" s="4">
        <v>9648</v>
      </c>
      <c r="U70" s="4">
        <v>10758</v>
      </c>
      <c r="V70" s="4">
        <v>11651</v>
      </c>
      <c r="W70" s="4">
        <v>12812</v>
      </c>
      <c r="X70" s="4">
        <v>14079</v>
      </c>
      <c r="Y70" s="4">
        <v>16363</v>
      </c>
      <c r="Z70" s="4">
        <v>17348</v>
      </c>
      <c r="AA70" s="4">
        <v>19135</v>
      </c>
      <c r="AB70" s="4">
        <v>21661</v>
      </c>
      <c r="AC70" s="4">
        <v>22420</v>
      </c>
      <c r="AD70" s="4">
        <v>23040</v>
      </c>
      <c r="AE70" s="4">
        <v>21796</v>
      </c>
      <c r="AF70" s="4">
        <v>21853</v>
      </c>
      <c r="AG70" s="4">
        <v>22731</v>
      </c>
      <c r="AH70" s="4">
        <v>23762</v>
      </c>
      <c r="AI70" s="4">
        <v>24416</v>
      </c>
      <c r="AJ70" s="4">
        <v>25961</v>
      </c>
      <c r="AK70" s="4">
        <v>27668</v>
      </c>
      <c r="AL70" s="4">
        <v>29067</v>
      </c>
      <c r="AM70" s="4">
        <v>31804</v>
      </c>
      <c r="AN70" s="4">
        <v>33634</v>
      </c>
      <c r="AO70" s="4">
        <v>35237</v>
      </c>
      <c r="AP70" s="4">
        <v>35810</v>
      </c>
      <c r="AQ70" s="4">
        <v>36756</v>
      </c>
      <c r="AR70" s="4">
        <v>39979</v>
      </c>
      <c r="AS70" s="4">
        <v>44709</v>
      </c>
      <c r="AT70" s="4">
        <v>47122</v>
      </c>
      <c r="AU70" s="4">
        <v>50774</v>
      </c>
      <c r="AV70" s="4">
        <v>50184</v>
      </c>
      <c r="AW70" s="4">
        <v>51160</v>
      </c>
      <c r="AX70" s="4">
        <v>49757</v>
      </c>
      <c r="AY70" s="4">
        <v>50222</v>
      </c>
      <c r="AZ70" s="4">
        <v>47822</v>
      </c>
      <c r="BA70" s="4">
        <v>49790</v>
      </c>
      <c r="BB70" s="4">
        <v>49803</v>
      </c>
      <c r="BC70" s="4">
        <v>52333</v>
      </c>
      <c r="BD70" s="4">
        <v>54044</v>
      </c>
      <c r="BE70" s="4">
        <v>56770</v>
      </c>
      <c r="BF70" s="4">
        <v>56141</v>
      </c>
      <c r="BG70" s="4">
        <v>56637</v>
      </c>
      <c r="BH70" s="4">
        <v>56909</v>
      </c>
      <c r="BI70" s="4">
        <v>62614</v>
      </c>
      <c r="BJ70" s="4">
        <v>63172</v>
      </c>
    </row>
    <row r="71" spans="3:62" x14ac:dyDescent="0.2">
      <c r="C71" s="3" t="s">
        <v>90</v>
      </c>
      <c r="D71" s="4">
        <v>62</v>
      </c>
      <c r="E71" s="4">
        <v>71</v>
      </c>
      <c r="F71" s="4">
        <v>81</v>
      </c>
      <c r="G71" s="4">
        <v>106</v>
      </c>
      <c r="H71" s="4">
        <v>125</v>
      </c>
      <c r="I71" s="4">
        <v>151</v>
      </c>
      <c r="J71" s="4">
        <v>179</v>
      </c>
      <c r="K71" s="4">
        <v>206</v>
      </c>
      <c r="L71" s="4">
        <v>226</v>
      </c>
      <c r="M71" s="4">
        <v>276</v>
      </c>
      <c r="N71" s="4">
        <v>346</v>
      </c>
      <c r="O71" s="4">
        <v>410</v>
      </c>
      <c r="P71" s="4">
        <v>458</v>
      </c>
      <c r="Q71" s="4">
        <v>494</v>
      </c>
      <c r="R71" s="4">
        <v>507</v>
      </c>
      <c r="S71" s="4">
        <v>537</v>
      </c>
      <c r="T71" s="4">
        <v>652</v>
      </c>
      <c r="U71" s="4">
        <v>830</v>
      </c>
      <c r="V71" s="4">
        <v>968</v>
      </c>
      <c r="W71" s="4">
        <v>1067</v>
      </c>
      <c r="X71" s="4">
        <v>1145</v>
      </c>
      <c r="Y71" s="4">
        <v>1234</v>
      </c>
      <c r="Z71" s="4">
        <v>1302</v>
      </c>
      <c r="AA71" s="4">
        <v>1433</v>
      </c>
      <c r="AB71" s="4">
        <v>1535</v>
      </c>
      <c r="AC71" s="4">
        <v>1669</v>
      </c>
      <c r="AD71" s="4">
        <v>1716</v>
      </c>
      <c r="AE71" s="4">
        <v>1702</v>
      </c>
      <c r="AF71" s="4">
        <v>1807</v>
      </c>
      <c r="AG71" s="4">
        <v>1949</v>
      </c>
      <c r="AH71" s="4">
        <v>2178</v>
      </c>
      <c r="AI71" s="4">
        <v>2490</v>
      </c>
      <c r="AJ71" s="4">
        <v>2647</v>
      </c>
      <c r="AK71" s="4">
        <v>2872</v>
      </c>
      <c r="AL71" s="4">
        <v>3048</v>
      </c>
      <c r="AM71" s="4">
        <v>3382</v>
      </c>
      <c r="AN71" s="4">
        <v>3706</v>
      </c>
      <c r="AO71" s="4">
        <v>4191</v>
      </c>
      <c r="AP71" s="4">
        <v>4772</v>
      </c>
      <c r="AQ71" s="4">
        <v>5897</v>
      </c>
      <c r="AR71" s="4">
        <v>6681</v>
      </c>
      <c r="AS71" s="4">
        <v>7430</v>
      </c>
      <c r="AT71" s="4">
        <v>7848</v>
      </c>
      <c r="AU71" s="4">
        <v>6814</v>
      </c>
      <c r="AV71" s="4">
        <v>7020</v>
      </c>
      <c r="AW71" s="4">
        <v>7220</v>
      </c>
      <c r="AX71" s="4">
        <v>7275</v>
      </c>
      <c r="AY71" s="4">
        <v>7400</v>
      </c>
      <c r="AZ71" s="4">
        <v>7519</v>
      </c>
      <c r="BA71" s="4">
        <v>7996</v>
      </c>
      <c r="BB71" s="4">
        <v>8663</v>
      </c>
      <c r="BC71" s="4">
        <v>9211</v>
      </c>
      <c r="BD71" s="4">
        <v>9769</v>
      </c>
      <c r="BE71" s="4">
        <v>10331</v>
      </c>
      <c r="BF71" s="4">
        <v>10963</v>
      </c>
      <c r="BG71" s="4">
        <v>11999</v>
      </c>
      <c r="BH71" s="4">
        <v>12690</v>
      </c>
      <c r="BI71" s="4">
        <v>13046</v>
      </c>
      <c r="BJ71" s="4">
        <v>13616</v>
      </c>
    </row>
    <row r="72" spans="3:62" x14ac:dyDescent="0.2">
      <c r="C72" s="3" t="s">
        <v>91</v>
      </c>
      <c r="D72" s="4">
        <v>199</v>
      </c>
      <c r="E72" s="4">
        <v>227</v>
      </c>
      <c r="F72" s="4">
        <v>264</v>
      </c>
      <c r="G72" s="4">
        <v>305</v>
      </c>
      <c r="H72" s="4">
        <v>354</v>
      </c>
      <c r="I72" s="4">
        <v>417</v>
      </c>
      <c r="J72" s="4">
        <v>476</v>
      </c>
      <c r="K72" s="4">
        <v>579</v>
      </c>
      <c r="L72" s="4">
        <v>702</v>
      </c>
      <c r="M72" s="4">
        <v>847</v>
      </c>
      <c r="N72" s="4">
        <v>991</v>
      </c>
      <c r="O72" s="4">
        <v>1103</v>
      </c>
      <c r="P72" s="4">
        <v>1262</v>
      </c>
      <c r="Q72" s="4">
        <v>1371</v>
      </c>
      <c r="R72" s="4">
        <v>1523</v>
      </c>
      <c r="S72" s="4">
        <v>1566</v>
      </c>
      <c r="T72" s="4">
        <v>1843</v>
      </c>
      <c r="U72" s="4">
        <v>2128</v>
      </c>
      <c r="V72" s="4">
        <v>2531</v>
      </c>
      <c r="W72" s="4">
        <v>2497</v>
      </c>
      <c r="X72" s="4">
        <v>2417</v>
      </c>
      <c r="Y72" s="4">
        <v>2617</v>
      </c>
      <c r="Z72" s="4">
        <v>2741</v>
      </c>
      <c r="AA72" s="4">
        <v>2950</v>
      </c>
      <c r="AB72" s="4">
        <v>3000</v>
      </c>
      <c r="AC72" s="4">
        <v>3102</v>
      </c>
      <c r="AD72" s="4">
        <v>3271</v>
      </c>
      <c r="AE72" s="4">
        <v>3254</v>
      </c>
      <c r="AF72" s="4">
        <v>3155</v>
      </c>
      <c r="AG72" s="4">
        <v>3273</v>
      </c>
      <c r="AH72" s="4">
        <v>3455</v>
      </c>
      <c r="AI72" s="4">
        <v>3593</v>
      </c>
      <c r="AJ72" s="4">
        <v>3785</v>
      </c>
      <c r="AK72" s="4">
        <v>3882</v>
      </c>
      <c r="AL72" s="4">
        <v>3991</v>
      </c>
      <c r="AM72" s="4">
        <v>4231</v>
      </c>
      <c r="AN72" s="4">
        <v>4336</v>
      </c>
      <c r="AO72" s="4">
        <v>4513</v>
      </c>
      <c r="AP72" s="4">
        <v>4542</v>
      </c>
      <c r="AQ72" s="4">
        <v>4655</v>
      </c>
      <c r="AR72" s="4">
        <v>4724</v>
      </c>
      <c r="AS72" s="4">
        <v>4585</v>
      </c>
      <c r="AT72" s="4">
        <v>4814</v>
      </c>
      <c r="AU72" s="4">
        <v>5244</v>
      </c>
      <c r="AV72" s="4">
        <v>5531</v>
      </c>
      <c r="AW72" s="4">
        <v>5610</v>
      </c>
      <c r="AX72" s="4">
        <v>5783</v>
      </c>
      <c r="AY72" s="4">
        <v>5907</v>
      </c>
      <c r="AZ72" s="4">
        <v>6050</v>
      </c>
      <c r="BA72" s="4">
        <v>6227</v>
      </c>
      <c r="BB72" s="4">
        <v>6375</v>
      </c>
      <c r="BC72" s="4">
        <v>6480</v>
      </c>
      <c r="BD72" s="4">
        <v>6531</v>
      </c>
      <c r="BE72" s="4">
        <v>6713</v>
      </c>
      <c r="BF72" s="4">
        <v>6849</v>
      </c>
      <c r="BG72" s="4">
        <v>7137</v>
      </c>
      <c r="BH72" s="4">
        <v>7239</v>
      </c>
      <c r="BI72" s="4">
        <v>7484</v>
      </c>
      <c r="BJ72" s="4">
        <v>7909</v>
      </c>
    </row>
    <row r="73" spans="3:62" x14ac:dyDescent="0.2">
      <c r="C73" s="3" t="s">
        <v>92</v>
      </c>
      <c r="D73" s="4">
        <v>749</v>
      </c>
      <c r="E73" s="4">
        <v>843</v>
      </c>
      <c r="F73" s="4">
        <v>961</v>
      </c>
      <c r="G73" s="4">
        <v>1078</v>
      </c>
      <c r="H73" s="4">
        <v>1248</v>
      </c>
      <c r="I73" s="4">
        <v>1394</v>
      </c>
      <c r="J73" s="4">
        <v>1626</v>
      </c>
      <c r="K73" s="4">
        <v>1828</v>
      </c>
      <c r="L73" s="4">
        <v>2126</v>
      </c>
      <c r="M73" s="4">
        <v>2313</v>
      </c>
      <c r="N73" s="4">
        <v>2622</v>
      </c>
      <c r="O73" s="4">
        <v>3132</v>
      </c>
      <c r="P73" s="4">
        <v>3733</v>
      </c>
      <c r="Q73" s="4">
        <v>4367</v>
      </c>
      <c r="R73" s="4">
        <v>5058</v>
      </c>
      <c r="S73" s="4">
        <v>5698</v>
      </c>
      <c r="T73" s="4">
        <v>6437</v>
      </c>
      <c r="U73" s="4">
        <v>7234</v>
      </c>
      <c r="V73" s="4">
        <v>7841</v>
      </c>
      <c r="W73" s="4">
        <v>8615</v>
      </c>
      <c r="X73" s="4">
        <v>9565</v>
      </c>
      <c r="Y73" s="4">
        <v>11042</v>
      </c>
      <c r="Z73" s="4">
        <v>11444</v>
      </c>
      <c r="AA73" s="4">
        <v>13196</v>
      </c>
      <c r="AB73" s="4">
        <v>14138</v>
      </c>
      <c r="AC73" s="4">
        <v>14699</v>
      </c>
      <c r="AD73" s="4">
        <v>14458</v>
      </c>
      <c r="AE73" s="4">
        <v>14904</v>
      </c>
      <c r="AF73" s="4">
        <v>15532</v>
      </c>
      <c r="AG73" s="4">
        <v>16402</v>
      </c>
      <c r="AH73" s="4">
        <v>17725</v>
      </c>
      <c r="AI73" s="4">
        <v>19069</v>
      </c>
      <c r="AJ73" s="4">
        <v>20471</v>
      </c>
      <c r="AK73" s="4">
        <v>21606</v>
      </c>
      <c r="AL73" s="4">
        <v>23211</v>
      </c>
      <c r="AM73" s="4">
        <v>25544</v>
      </c>
      <c r="AN73" s="4">
        <v>27116</v>
      </c>
      <c r="AO73" s="4">
        <v>28075</v>
      </c>
      <c r="AP73" s="4">
        <v>29198</v>
      </c>
      <c r="AQ73" s="4">
        <v>32398</v>
      </c>
      <c r="AR73" s="4">
        <v>34477</v>
      </c>
      <c r="AS73" s="4">
        <v>38187</v>
      </c>
      <c r="AT73" s="4">
        <v>41600</v>
      </c>
      <c r="AU73" s="4">
        <v>41127</v>
      </c>
      <c r="AV73" s="4">
        <v>42590</v>
      </c>
      <c r="AW73" s="4">
        <v>43890</v>
      </c>
      <c r="AX73" s="4">
        <v>45773</v>
      </c>
      <c r="AY73" s="4">
        <v>48587</v>
      </c>
      <c r="AZ73" s="4">
        <v>49663</v>
      </c>
      <c r="BA73" s="4">
        <v>51983</v>
      </c>
      <c r="BB73" s="4">
        <v>56180</v>
      </c>
      <c r="BC73" s="4">
        <v>59058</v>
      </c>
      <c r="BD73" s="4">
        <v>62008</v>
      </c>
      <c r="BE73" s="4">
        <v>63742</v>
      </c>
      <c r="BF73" s="4">
        <v>65692</v>
      </c>
      <c r="BG73" s="4">
        <v>72546</v>
      </c>
      <c r="BH73" s="4">
        <v>80532</v>
      </c>
      <c r="BI73" s="4">
        <v>88057</v>
      </c>
      <c r="BJ73" s="4">
        <v>94932</v>
      </c>
    </row>
    <row r="74" spans="3:62" x14ac:dyDescent="0.2">
      <c r="C74" s="3" t="s">
        <v>93</v>
      </c>
      <c r="D74" s="4">
        <v>183</v>
      </c>
      <c r="E74" s="4">
        <v>212</v>
      </c>
      <c r="F74" s="4">
        <v>237</v>
      </c>
      <c r="G74" s="4">
        <v>295</v>
      </c>
      <c r="H74" s="4">
        <v>344</v>
      </c>
      <c r="I74" s="4">
        <v>401</v>
      </c>
      <c r="J74" s="4">
        <v>445</v>
      </c>
      <c r="K74" s="4">
        <v>503</v>
      </c>
      <c r="L74" s="4">
        <v>593</v>
      </c>
      <c r="M74" s="4">
        <v>714</v>
      </c>
      <c r="N74" s="4">
        <v>791</v>
      </c>
      <c r="O74" s="4">
        <v>868</v>
      </c>
      <c r="P74" s="4">
        <v>969</v>
      </c>
      <c r="Q74" s="4">
        <v>1075</v>
      </c>
      <c r="R74" s="4">
        <v>1189</v>
      </c>
      <c r="S74" s="4">
        <v>1341</v>
      </c>
      <c r="T74" s="4">
        <v>1558</v>
      </c>
      <c r="U74" s="4">
        <v>1696</v>
      </c>
      <c r="V74" s="4">
        <v>1777</v>
      </c>
      <c r="W74" s="4">
        <v>1847</v>
      </c>
      <c r="X74" s="4">
        <v>1946</v>
      </c>
      <c r="Y74" s="4">
        <v>2092</v>
      </c>
      <c r="Z74" s="4">
        <v>2283</v>
      </c>
      <c r="AA74" s="4">
        <v>2417</v>
      </c>
      <c r="AB74" s="4">
        <v>3021</v>
      </c>
      <c r="AC74" s="4">
        <v>3287</v>
      </c>
      <c r="AD74" s="4">
        <v>2921</v>
      </c>
      <c r="AE74" s="4">
        <v>2349</v>
      </c>
      <c r="AF74" s="4">
        <v>1861</v>
      </c>
      <c r="AG74" s="4">
        <v>1922</v>
      </c>
      <c r="AH74" s="4">
        <v>2145</v>
      </c>
      <c r="AI74" s="4">
        <v>2289</v>
      </c>
      <c r="AJ74" s="4">
        <v>2619</v>
      </c>
      <c r="AK74" s="4">
        <v>3181</v>
      </c>
      <c r="AL74" s="4">
        <v>4095</v>
      </c>
      <c r="AM74" s="4">
        <v>3818</v>
      </c>
      <c r="AN74" s="4">
        <v>3983</v>
      </c>
      <c r="AO74" s="4">
        <v>5464</v>
      </c>
      <c r="AP74" s="4">
        <v>5561</v>
      </c>
      <c r="AQ74" s="4">
        <v>6474</v>
      </c>
      <c r="AR74" s="4">
        <v>6424</v>
      </c>
      <c r="AS74" s="4">
        <v>6706</v>
      </c>
      <c r="AT74" s="4">
        <v>5960</v>
      </c>
      <c r="AU74" s="4">
        <v>6732</v>
      </c>
      <c r="AV74" s="4">
        <v>7422</v>
      </c>
      <c r="AW74" s="4">
        <v>7394</v>
      </c>
      <c r="AX74" s="4">
        <v>7359</v>
      </c>
      <c r="AY74" s="4">
        <v>7949</v>
      </c>
      <c r="AZ74" s="4">
        <v>8606</v>
      </c>
      <c r="BA74" s="4">
        <v>8804</v>
      </c>
      <c r="BB74" s="4">
        <v>8451</v>
      </c>
      <c r="BC74" s="4">
        <v>8624</v>
      </c>
      <c r="BD74" s="4">
        <v>8877</v>
      </c>
      <c r="BE74" s="4">
        <v>9113</v>
      </c>
      <c r="BF74" s="4">
        <v>9913</v>
      </c>
      <c r="BG74" s="4">
        <v>11268</v>
      </c>
      <c r="BH74" s="4">
        <v>12829</v>
      </c>
      <c r="BI74" s="4">
        <v>14131</v>
      </c>
      <c r="BJ74" s="4">
        <v>15737</v>
      </c>
    </row>
    <row r="75" spans="3:62" x14ac:dyDescent="0.2">
      <c r="C75" s="3" t="s">
        <v>94</v>
      </c>
      <c r="D75" s="4">
        <v>144</v>
      </c>
      <c r="E75" s="4">
        <v>158</v>
      </c>
      <c r="F75" s="4">
        <v>181</v>
      </c>
      <c r="G75" s="4">
        <v>200</v>
      </c>
      <c r="H75" s="4">
        <v>232</v>
      </c>
      <c r="I75" s="4">
        <v>248</v>
      </c>
      <c r="J75" s="4">
        <v>275</v>
      </c>
      <c r="K75" s="4">
        <v>307</v>
      </c>
      <c r="L75" s="4">
        <v>366</v>
      </c>
      <c r="M75" s="4">
        <v>411</v>
      </c>
      <c r="N75" s="4">
        <v>482</v>
      </c>
      <c r="O75" s="4">
        <v>581</v>
      </c>
      <c r="P75" s="4">
        <v>684</v>
      </c>
      <c r="Q75" s="4">
        <v>779</v>
      </c>
      <c r="R75" s="4">
        <v>857</v>
      </c>
      <c r="S75" s="4">
        <v>901</v>
      </c>
      <c r="T75" s="4">
        <v>1033</v>
      </c>
      <c r="U75" s="4">
        <v>1138</v>
      </c>
      <c r="V75" s="4">
        <v>1427</v>
      </c>
      <c r="W75" s="4">
        <v>1796</v>
      </c>
      <c r="X75" s="4">
        <v>2163</v>
      </c>
      <c r="Y75" s="4">
        <v>2400</v>
      </c>
      <c r="Z75" s="4">
        <v>2519</v>
      </c>
      <c r="AA75" s="4">
        <v>2611</v>
      </c>
      <c r="AB75" s="4">
        <v>2522</v>
      </c>
      <c r="AC75" s="4">
        <v>2580</v>
      </c>
      <c r="AD75" s="4">
        <v>3145</v>
      </c>
      <c r="AE75" s="4">
        <v>4008</v>
      </c>
      <c r="AF75" s="4">
        <v>3485</v>
      </c>
      <c r="AG75" s="4">
        <v>3820</v>
      </c>
      <c r="AH75" s="4">
        <v>4210</v>
      </c>
      <c r="AI75" s="4">
        <v>4532</v>
      </c>
      <c r="AJ75" s="4">
        <v>5080</v>
      </c>
      <c r="AK75" s="4">
        <v>5658</v>
      </c>
      <c r="AL75" s="4">
        <v>6107</v>
      </c>
      <c r="AM75" s="4">
        <v>6893</v>
      </c>
      <c r="AN75" s="4">
        <v>7053</v>
      </c>
      <c r="AO75" s="4">
        <v>7309</v>
      </c>
      <c r="AP75" s="4">
        <v>7564</v>
      </c>
      <c r="AQ75" s="4">
        <v>7891</v>
      </c>
      <c r="AR75" s="4">
        <v>8697</v>
      </c>
      <c r="AS75" s="4">
        <v>9852</v>
      </c>
      <c r="AT75" s="4">
        <v>10227</v>
      </c>
      <c r="AU75" s="4">
        <v>9858</v>
      </c>
      <c r="AV75" s="4">
        <v>9484</v>
      </c>
      <c r="AW75" s="4">
        <v>9569</v>
      </c>
      <c r="AX75" s="4">
        <v>9488</v>
      </c>
      <c r="AY75" s="4">
        <v>9472</v>
      </c>
      <c r="AZ75" s="4">
        <v>9711</v>
      </c>
      <c r="BA75" s="4">
        <v>10398</v>
      </c>
      <c r="BB75" s="4">
        <v>10915</v>
      </c>
      <c r="BC75" s="4">
        <v>11504</v>
      </c>
      <c r="BD75" s="4">
        <v>12238</v>
      </c>
      <c r="BE75" s="4">
        <v>12573</v>
      </c>
      <c r="BF75" s="4">
        <v>12534</v>
      </c>
      <c r="BG75" s="4">
        <v>13430</v>
      </c>
      <c r="BH75" s="4">
        <v>14450</v>
      </c>
      <c r="BI75" s="4">
        <v>15066</v>
      </c>
      <c r="BJ75" s="4">
        <v>15389</v>
      </c>
    </row>
    <row r="76" spans="3:62" x14ac:dyDescent="0.2">
      <c r="C76" s="3" t="s">
        <v>95</v>
      </c>
      <c r="D76" s="4">
        <v>397</v>
      </c>
      <c r="E76" s="4">
        <v>452</v>
      </c>
      <c r="F76" s="4">
        <v>516</v>
      </c>
      <c r="G76" s="4">
        <v>580</v>
      </c>
      <c r="H76" s="4">
        <v>670</v>
      </c>
      <c r="I76" s="4">
        <v>834</v>
      </c>
      <c r="J76" s="4">
        <v>962</v>
      </c>
      <c r="K76" s="4">
        <v>1088</v>
      </c>
      <c r="L76" s="4">
        <v>1266</v>
      </c>
      <c r="M76" s="4">
        <v>1534</v>
      </c>
      <c r="N76" s="4">
        <v>1724</v>
      </c>
      <c r="O76" s="4">
        <v>1997</v>
      </c>
      <c r="P76" s="4">
        <v>2261</v>
      </c>
      <c r="Q76" s="4">
        <v>2635</v>
      </c>
      <c r="R76" s="4">
        <v>2929</v>
      </c>
      <c r="S76" s="4">
        <v>3168</v>
      </c>
      <c r="T76" s="4">
        <v>3604</v>
      </c>
      <c r="U76" s="4">
        <v>4126</v>
      </c>
      <c r="V76" s="4">
        <v>4565</v>
      </c>
      <c r="W76" s="4">
        <v>4807</v>
      </c>
      <c r="X76" s="4">
        <v>5806</v>
      </c>
      <c r="Y76" s="4">
        <v>6522</v>
      </c>
      <c r="Z76" s="4">
        <v>6926</v>
      </c>
      <c r="AA76" s="4">
        <v>7977</v>
      </c>
      <c r="AB76" s="4">
        <v>8054</v>
      </c>
      <c r="AC76" s="4">
        <v>8672</v>
      </c>
      <c r="AD76" s="4">
        <v>8616</v>
      </c>
      <c r="AE76" s="4">
        <v>8451</v>
      </c>
      <c r="AF76" s="4">
        <v>10422</v>
      </c>
      <c r="AG76" s="4">
        <v>10330</v>
      </c>
      <c r="AH76" s="4">
        <v>11372</v>
      </c>
      <c r="AI76" s="4">
        <v>12125</v>
      </c>
      <c r="AJ76" s="4">
        <v>13740</v>
      </c>
      <c r="AK76" s="4">
        <v>15124</v>
      </c>
      <c r="AL76" s="4">
        <v>16853</v>
      </c>
      <c r="AM76" s="4">
        <v>18609</v>
      </c>
      <c r="AN76" s="4">
        <v>19539</v>
      </c>
      <c r="AO76" s="4">
        <v>20609</v>
      </c>
      <c r="AP76" s="4">
        <v>22855</v>
      </c>
      <c r="AQ76" s="4">
        <v>24990</v>
      </c>
      <c r="AR76" s="4">
        <v>27720</v>
      </c>
      <c r="AS76" s="4">
        <v>32185</v>
      </c>
      <c r="AT76" s="4">
        <v>33943</v>
      </c>
      <c r="AU76" s="4">
        <v>31216</v>
      </c>
      <c r="AV76" s="4">
        <v>31317</v>
      </c>
      <c r="AW76" s="4">
        <v>33445</v>
      </c>
      <c r="AX76" s="4">
        <v>35014</v>
      </c>
      <c r="AY76" s="4">
        <v>37631</v>
      </c>
      <c r="AZ76" s="4">
        <v>40242</v>
      </c>
      <c r="BA76" s="4">
        <v>42701</v>
      </c>
      <c r="BB76" s="4">
        <v>46086</v>
      </c>
      <c r="BC76" s="4">
        <v>48674</v>
      </c>
      <c r="BD76" s="4">
        <v>51319</v>
      </c>
      <c r="BE76" s="4">
        <v>52970</v>
      </c>
      <c r="BF76" s="4">
        <v>51803</v>
      </c>
      <c r="BG76" s="4">
        <v>55464</v>
      </c>
      <c r="BH76" s="4">
        <v>60344</v>
      </c>
      <c r="BI76" s="4">
        <v>61779</v>
      </c>
      <c r="BJ76" s="4">
        <v>64688</v>
      </c>
    </row>
    <row r="77" spans="3:62" x14ac:dyDescent="0.2">
      <c r="C77" s="3" t="s">
        <v>96</v>
      </c>
      <c r="D77" s="4">
        <v>3292</v>
      </c>
      <c r="E77" s="4">
        <v>3859</v>
      </c>
      <c r="F77" s="4">
        <v>4443</v>
      </c>
      <c r="G77" s="4">
        <v>5179</v>
      </c>
      <c r="H77" s="4">
        <v>6109</v>
      </c>
      <c r="I77" s="4">
        <v>7189</v>
      </c>
      <c r="J77" s="4">
        <v>7881</v>
      </c>
      <c r="K77" s="4">
        <v>8888</v>
      </c>
      <c r="L77" s="4">
        <v>10382</v>
      </c>
      <c r="M77" s="4">
        <v>12187</v>
      </c>
      <c r="N77" s="4">
        <v>13841</v>
      </c>
      <c r="O77" s="4">
        <v>15097</v>
      </c>
      <c r="P77" s="4">
        <v>16976</v>
      </c>
      <c r="Q77" s="4">
        <v>18988</v>
      </c>
      <c r="R77" s="4">
        <v>21370</v>
      </c>
      <c r="S77" s="4">
        <v>24222</v>
      </c>
      <c r="T77" s="4">
        <v>28086</v>
      </c>
      <c r="U77" s="4">
        <v>30402</v>
      </c>
      <c r="V77" s="4">
        <v>31186</v>
      </c>
      <c r="W77" s="4">
        <v>32466</v>
      </c>
      <c r="X77" s="4">
        <v>32856</v>
      </c>
      <c r="Y77" s="4">
        <v>36048</v>
      </c>
      <c r="Z77" s="4">
        <v>37674</v>
      </c>
      <c r="AA77" s="4">
        <v>39206</v>
      </c>
      <c r="AB77" s="4">
        <v>39725</v>
      </c>
      <c r="AC77" s="4">
        <v>40892</v>
      </c>
      <c r="AD77" s="4">
        <v>42477</v>
      </c>
      <c r="AE77" s="4">
        <v>43369</v>
      </c>
      <c r="AF77" s="4">
        <v>43370</v>
      </c>
      <c r="AG77" s="4">
        <v>44408</v>
      </c>
      <c r="AH77" s="4">
        <v>45994</v>
      </c>
      <c r="AI77" s="4">
        <v>47647</v>
      </c>
      <c r="AJ77" s="4">
        <v>48919</v>
      </c>
      <c r="AK77" s="4">
        <v>51772</v>
      </c>
      <c r="AL77" s="4">
        <v>51683</v>
      </c>
      <c r="AM77" s="4">
        <v>53678</v>
      </c>
      <c r="AN77" s="4">
        <v>56087</v>
      </c>
      <c r="AO77" s="4">
        <v>57892</v>
      </c>
      <c r="AP77" s="4">
        <v>59351</v>
      </c>
      <c r="AQ77" s="4">
        <v>60852</v>
      </c>
      <c r="AR77" s="4">
        <v>62167</v>
      </c>
      <c r="AS77" s="4">
        <v>62037</v>
      </c>
      <c r="AT77" s="4">
        <v>65550</v>
      </c>
      <c r="AU77" s="4">
        <v>69638</v>
      </c>
      <c r="AV77" s="4">
        <v>72584</v>
      </c>
      <c r="AW77" s="4">
        <v>71229</v>
      </c>
      <c r="AX77" s="4">
        <v>72016</v>
      </c>
      <c r="AY77" s="4">
        <v>71258</v>
      </c>
      <c r="AZ77" s="4">
        <v>71023</v>
      </c>
      <c r="BA77" s="4">
        <v>71930</v>
      </c>
      <c r="BB77" s="4">
        <v>72763</v>
      </c>
      <c r="BC77" s="4">
        <v>73537</v>
      </c>
      <c r="BD77" s="4">
        <v>75580</v>
      </c>
      <c r="BE77" s="4">
        <v>79358</v>
      </c>
      <c r="BF77" s="4">
        <v>81877</v>
      </c>
      <c r="BG77" s="4">
        <v>85049</v>
      </c>
      <c r="BH77" s="4">
        <v>87506</v>
      </c>
      <c r="BI77" s="4">
        <v>90935</v>
      </c>
      <c r="BJ77" s="4">
        <v>96988</v>
      </c>
    </row>
    <row r="78" spans="3:62" x14ac:dyDescent="0.2">
      <c r="C78" s="3" t="s">
        <v>97</v>
      </c>
      <c r="D78" s="4">
        <v>2729</v>
      </c>
      <c r="E78" s="4">
        <v>3258</v>
      </c>
      <c r="F78" s="4">
        <v>3653</v>
      </c>
      <c r="G78" s="4">
        <v>4463</v>
      </c>
      <c r="H78" s="4">
        <v>5343</v>
      </c>
      <c r="I78" s="4">
        <v>6168</v>
      </c>
      <c r="J78" s="4">
        <v>6975</v>
      </c>
      <c r="K78" s="4">
        <v>7807</v>
      </c>
      <c r="L78" s="4">
        <v>9056</v>
      </c>
      <c r="M78" s="4">
        <v>10867</v>
      </c>
      <c r="N78" s="4">
        <v>12327</v>
      </c>
      <c r="O78" s="4">
        <v>13474</v>
      </c>
      <c r="P78" s="4">
        <v>14855</v>
      </c>
      <c r="Q78" s="4">
        <v>16601</v>
      </c>
      <c r="R78" s="4">
        <v>18582</v>
      </c>
      <c r="S78" s="4">
        <v>20974</v>
      </c>
      <c r="T78" s="4">
        <v>23794</v>
      </c>
      <c r="U78" s="4">
        <v>25356</v>
      </c>
      <c r="V78" s="4">
        <v>26654</v>
      </c>
      <c r="W78" s="4">
        <v>27371</v>
      </c>
      <c r="X78" s="4">
        <v>28679</v>
      </c>
      <c r="Y78" s="4">
        <v>32073</v>
      </c>
      <c r="Z78" s="4">
        <v>34555</v>
      </c>
      <c r="AA78" s="4">
        <v>35733</v>
      </c>
      <c r="AB78" s="4">
        <v>35343</v>
      </c>
      <c r="AC78" s="4">
        <v>37846</v>
      </c>
      <c r="AD78" s="4">
        <v>39246</v>
      </c>
      <c r="AE78" s="4">
        <v>40471</v>
      </c>
      <c r="AF78" s="4">
        <v>42664</v>
      </c>
      <c r="AG78" s="4">
        <v>43187</v>
      </c>
      <c r="AH78" s="4">
        <v>45161</v>
      </c>
      <c r="AI78" s="4">
        <v>46476</v>
      </c>
      <c r="AJ78" s="4">
        <v>49717</v>
      </c>
      <c r="AK78" s="4">
        <v>51985</v>
      </c>
      <c r="AL78" s="4">
        <v>55062</v>
      </c>
      <c r="AM78" s="4">
        <v>57537</v>
      </c>
      <c r="AN78" s="4">
        <v>60764</v>
      </c>
      <c r="AO78" s="4">
        <v>62180</v>
      </c>
      <c r="AP78" s="4">
        <v>65283</v>
      </c>
      <c r="AQ78" s="4">
        <v>67130</v>
      </c>
      <c r="AR78" s="4">
        <v>69932</v>
      </c>
      <c r="AS78" s="4">
        <v>70720</v>
      </c>
      <c r="AT78" s="4">
        <v>76600</v>
      </c>
      <c r="AU78" s="4">
        <v>82107</v>
      </c>
      <c r="AV78" s="4">
        <v>85537</v>
      </c>
      <c r="AW78" s="4">
        <v>86004</v>
      </c>
      <c r="AX78" s="4">
        <v>87964</v>
      </c>
      <c r="AY78" s="4">
        <v>88110</v>
      </c>
      <c r="AZ78" s="4">
        <v>93264</v>
      </c>
      <c r="BA78" s="4">
        <v>95651</v>
      </c>
      <c r="BB78" s="4">
        <v>96845</v>
      </c>
      <c r="BC78" s="4">
        <v>96801</v>
      </c>
      <c r="BD78" s="4">
        <v>98778</v>
      </c>
      <c r="BE78" s="4">
        <v>100295</v>
      </c>
      <c r="BF78" s="4">
        <v>100081</v>
      </c>
      <c r="BG78" s="4">
        <v>104388</v>
      </c>
      <c r="BH78" s="4">
        <v>107447</v>
      </c>
      <c r="BI78" s="4">
        <v>110350</v>
      </c>
      <c r="BJ78" s="4">
        <v>116118</v>
      </c>
    </row>
    <row r="79" spans="3:62" x14ac:dyDescent="0.2">
      <c r="C79" s="3" t="s">
        <v>98</v>
      </c>
      <c r="D79" s="4">
        <v>1819</v>
      </c>
      <c r="E79" s="4">
        <v>2072</v>
      </c>
      <c r="F79" s="4">
        <v>2458</v>
      </c>
      <c r="G79" s="4">
        <v>2845</v>
      </c>
      <c r="H79" s="4">
        <v>3448</v>
      </c>
      <c r="I79" s="4">
        <v>4361</v>
      </c>
      <c r="J79" s="4">
        <v>5122</v>
      </c>
      <c r="K79" s="4">
        <v>5663</v>
      </c>
      <c r="L79" s="4">
        <v>7194</v>
      </c>
      <c r="M79" s="4">
        <v>8394</v>
      </c>
      <c r="N79" s="4">
        <v>9555</v>
      </c>
      <c r="O79" s="4">
        <v>10294</v>
      </c>
      <c r="P79" s="4">
        <v>11308</v>
      </c>
      <c r="Q79" s="4">
        <v>12447</v>
      </c>
      <c r="R79" s="4">
        <v>13844</v>
      </c>
      <c r="S79" s="4">
        <v>15543</v>
      </c>
      <c r="T79" s="4">
        <v>18400</v>
      </c>
      <c r="U79" s="4">
        <v>19723</v>
      </c>
      <c r="V79" s="4">
        <v>19861</v>
      </c>
      <c r="W79" s="4">
        <v>21211</v>
      </c>
      <c r="X79" s="4">
        <v>21602</v>
      </c>
      <c r="Y79" s="4">
        <v>22982</v>
      </c>
      <c r="Z79" s="4">
        <v>25710</v>
      </c>
      <c r="AA79" s="4">
        <v>26138</v>
      </c>
      <c r="AB79" s="4">
        <v>27239</v>
      </c>
      <c r="AC79" s="4">
        <v>28257</v>
      </c>
      <c r="AD79" s="4">
        <v>28718</v>
      </c>
      <c r="AE79" s="4">
        <v>29533</v>
      </c>
      <c r="AF79" s="4">
        <v>29604</v>
      </c>
      <c r="AG79" s="4">
        <v>29262</v>
      </c>
      <c r="AH79" s="4">
        <v>30834</v>
      </c>
      <c r="AI79" s="4">
        <v>31854</v>
      </c>
      <c r="AJ79" s="4">
        <v>33690</v>
      </c>
      <c r="AK79" s="4">
        <v>36085</v>
      </c>
      <c r="AL79" s="4">
        <v>37338</v>
      </c>
      <c r="AM79" s="4">
        <v>39531</v>
      </c>
      <c r="AN79" s="4">
        <v>41480</v>
      </c>
      <c r="AO79" s="4">
        <v>43819</v>
      </c>
      <c r="AP79" s="4">
        <v>46025</v>
      </c>
      <c r="AQ79" s="4">
        <v>47982</v>
      </c>
      <c r="AR79" s="4">
        <v>50584</v>
      </c>
      <c r="AS79" s="4">
        <v>54024</v>
      </c>
      <c r="AT79" s="4">
        <v>57149</v>
      </c>
      <c r="AU79" s="4">
        <v>62715</v>
      </c>
      <c r="AV79" s="4">
        <v>65144</v>
      </c>
      <c r="AW79" s="4">
        <v>65200</v>
      </c>
      <c r="AX79" s="4">
        <v>66630</v>
      </c>
      <c r="AY79" s="4">
        <v>75630</v>
      </c>
      <c r="AZ79" s="4">
        <v>77626</v>
      </c>
      <c r="BA79" s="4">
        <v>78979</v>
      </c>
      <c r="BB79" s="4">
        <v>81199</v>
      </c>
      <c r="BC79" s="4">
        <v>84290</v>
      </c>
      <c r="BD79" s="4">
        <v>86719</v>
      </c>
      <c r="BE79" s="4">
        <v>89128</v>
      </c>
      <c r="BF79" s="4">
        <v>93695</v>
      </c>
      <c r="BG79" s="4">
        <v>104015</v>
      </c>
      <c r="BH79" s="4">
        <v>107513</v>
      </c>
      <c r="BI79" s="4">
        <v>110387</v>
      </c>
      <c r="BJ79" s="4">
        <v>116325</v>
      </c>
    </row>
    <row r="80" spans="3:62" x14ac:dyDescent="0.2">
      <c r="C80" s="3" t="s">
        <v>99</v>
      </c>
      <c r="D80" s="4">
        <v>1449</v>
      </c>
      <c r="E80" s="4">
        <v>1672</v>
      </c>
      <c r="F80" s="4">
        <v>1960</v>
      </c>
      <c r="G80" s="4">
        <v>2277</v>
      </c>
      <c r="H80" s="4">
        <v>2764</v>
      </c>
      <c r="I80" s="4">
        <v>3427</v>
      </c>
      <c r="J80" s="4">
        <v>4228</v>
      </c>
      <c r="K80" s="4">
        <v>5331</v>
      </c>
      <c r="L80" s="4">
        <v>6599</v>
      </c>
      <c r="M80" s="4">
        <v>7463</v>
      </c>
      <c r="N80" s="4">
        <v>8724</v>
      </c>
      <c r="O80" s="4">
        <v>10371</v>
      </c>
      <c r="P80" s="4">
        <v>12207</v>
      </c>
      <c r="Q80" s="4">
        <v>14207</v>
      </c>
      <c r="R80" s="4">
        <v>16197</v>
      </c>
      <c r="S80" s="4">
        <v>18745</v>
      </c>
      <c r="T80" s="4">
        <v>22312</v>
      </c>
      <c r="U80" s="4">
        <v>24121</v>
      </c>
      <c r="V80" s="4">
        <v>25200</v>
      </c>
      <c r="W80" s="4">
        <v>27084</v>
      </c>
      <c r="X80" s="4">
        <v>28922</v>
      </c>
      <c r="Y80" s="4">
        <v>31726</v>
      </c>
      <c r="Z80" s="4">
        <v>35543</v>
      </c>
      <c r="AA80" s="4">
        <v>37305</v>
      </c>
      <c r="AB80" s="4">
        <v>38589</v>
      </c>
      <c r="AC80" s="4">
        <v>39850</v>
      </c>
      <c r="AD80" s="4">
        <v>41895</v>
      </c>
      <c r="AE80" s="4">
        <v>44494</v>
      </c>
      <c r="AF80" s="4">
        <v>46496</v>
      </c>
      <c r="AG80" s="4">
        <v>49309</v>
      </c>
      <c r="AH80" s="4">
        <v>52546</v>
      </c>
      <c r="AI80" s="4">
        <v>55377</v>
      </c>
      <c r="AJ80" s="4">
        <v>59311</v>
      </c>
      <c r="AK80" s="4">
        <v>61290</v>
      </c>
      <c r="AL80" s="4">
        <v>64195</v>
      </c>
      <c r="AM80" s="4">
        <v>67848</v>
      </c>
      <c r="AN80" s="4">
        <v>70611</v>
      </c>
      <c r="AO80" s="4">
        <v>72964</v>
      </c>
      <c r="AP80" s="4">
        <v>74814</v>
      </c>
      <c r="AQ80" s="4">
        <v>76154</v>
      </c>
      <c r="AR80" s="4">
        <v>80587</v>
      </c>
      <c r="AS80" s="4">
        <v>81581</v>
      </c>
      <c r="AT80" s="4">
        <v>85827</v>
      </c>
      <c r="AU80" s="4">
        <v>92214</v>
      </c>
      <c r="AV80" s="4">
        <v>94663</v>
      </c>
      <c r="AW80" s="4">
        <v>92619</v>
      </c>
      <c r="AX80" s="4">
        <v>93114</v>
      </c>
      <c r="AY80" s="4">
        <v>94548</v>
      </c>
      <c r="AZ80" s="4">
        <v>93924</v>
      </c>
      <c r="BA80" s="4">
        <v>94145</v>
      </c>
      <c r="BB80" s="4">
        <v>94482</v>
      </c>
      <c r="BC80" s="4">
        <v>96309</v>
      </c>
      <c r="BD80" s="4">
        <v>98627</v>
      </c>
      <c r="BE80" s="4">
        <v>101030</v>
      </c>
      <c r="BF80" s="4">
        <v>103205</v>
      </c>
      <c r="BG80" s="4">
        <v>106616</v>
      </c>
      <c r="BH80" s="4">
        <v>111141</v>
      </c>
      <c r="BI80" s="4">
        <v>115341</v>
      </c>
      <c r="BJ80" s="4">
        <v>121711</v>
      </c>
    </row>
    <row r="81" spans="3:62" x14ac:dyDescent="0.2">
      <c r="C81" s="3" t="s">
        <v>100</v>
      </c>
      <c r="D81" s="4">
        <v>342</v>
      </c>
      <c r="E81" s="4">
        <v>404</v>
      </c>
      <c r="F81" s="4">
        <v>464</v>
      </c>
      <c r="G81" s="4">
        <v>545</v>
      </c>
      <c r="H81" s="4">
        <v>629</v>
      </c>
      <c r="I81" s="4">
        <v>774</v>
      </c>
      <c r="J81" s="4">
        <v>880</v>
      </c>
      <c r="K81" s="4">
        <v>1035</v>
      </c>
      <c r="L81" s="4">
        <v>1220</v>
      </c>
      <c r="M81" s="4">
        <v>1457</v>
      </c>
      <c r="N81" s="4">
        <v>1673</v>
      </c>
      <c r="O81" s="4">
        <v>1933</v>
      </c>
      <c r="P81" s="4">
        <v>2185</v>
      </c>
      <c r="Q81" s="4">
        <v>2408</v>
      </c>
      <c r="R81" s="4">
        <v>2606</v>
      </c>
      <c r="S81" s="4">
        <v>2990</v>
      </c>
      <c r="T81" s="4">
        <v>3454</v>
      </c>
      <c r="U81" s="4">
        <v>3721</v>
      </c>
      <c r="V81" s="4">
        <v>3999</v>
      </c>
      <c r="W81" s="4">
        <v>4257</v>
      </c>
      <c r="X81" s="4">
        <v>4442</v>
      </c>
      <c r="Y81" s="4">
        <v>4563</v>
      </c>
      <c r="Z81" s="4">
        <v>5283</v>
      </c>
      <c r="AA81" s="4">
        <v>6143</v>
      </c>
      <c r="AB81" s="4">
        <v>6376</v>
      </c>
      <c r="AC81" s="4">
        <v>6854</v>
      </c>
      <c r="AD81" s="4">
        <v>7110</v>
      </c>
      <c r="AE81" s="4">
        <v>6996</v>
      </c>
      <c r="AF81" s="4">
        <v>7060</v>
      </c>
      <c r="AG81" s="4">
        <v>7247</v>
      </c>
      <c r="AH81" s="4">
        <v>7735</v>
      </c>
      <c r="AI81" s="4">
        <v>8169</v>
      </c>
      <c r="AJ81" s="4">
        <v>8681</v>
      </c>
      <c r="AK81" s="4">
        <v>8930</v>
      </c>
      <c r="AL81" s="4">
        <v>9275</v>
      </c>
      <c r="AM81" s="4">
        <v>9891</v>
      </c>
      <c r="AN81" s="4">
        <v>10166</v>
      </c>
      <c r="AO81" s="4">
        <v>10592</v>
      </c>
      <c r="AP81" s="4">
        <v>10884</v>
      </c>
      <c r="AQ81" s="4">
        <v>11373</v>
      </c>
      <c r="AR81" s="4">
        <v>12266</v>
      </c>
      <c r="AS81" s="4">
        <v>12689</v>
      </c>
      <c r="AT81" s="4">
        <v>13476</v>
      </c>
      <c r="AU81" s="4">
        <v>13925</v>
      </c>
      <c r="AV81" s="4">
        <v>14081</v>
      </c>
      <c r="AW81" s="4">
        <v>14208</v>
      </c>
      <c r="AX81" s="4">
        <v>14722</v>
      </c>
      <c r="AY81" s="4">
        <v>14482</v>
      </c>
      <c r="AZ81" s="4">
        <v>14839</v>
      </c>
      <c r="BA81" s="4">
        <v>15142</v>
      </c>
      <c r="BB81" s="4">
        <v>15488</v>
      </c>
      <c r="BC81" s="4">
        <v>15951</v>
      </c>
      <c r="BD81" s="4">
        <v>16724</v>
      </c>
      <c r="BE81" s="4">
        <v>17407</v>
      </c>
      <c r="BF81" s="4">
        <v>17201</v>
      </c>
      <c r="BG81" s="4">
        <v>17862</v>
      </c>
      <c r="BH81" s="4">
        <v>19525</v>
      </c>
      <c r="BI81" s="4">
        <v>20610</v>
      </c>
      <c r="BJ81" s="4">
        <v>21689</v>
      </c>
    </row>
    <row r="82" spans="3:62" x14ac:dyDescent="0.2">
      <c r="C82" s="3" t="s">
        <v>101</v>
      </c>
      <c r="D82" s="4">
        <v>679</v>
      </c>
      <c r="E82" s="4">
        <v>738</v>
      </c>
      <c r="F82" s="4">
        <v>811</v>
      </c>
      <c r="G82" s="4">
        <v>860</v>
      </c>
      <c r="H82" s="4">
        <v>943</v>
      </c>
      <c r="I82" s="4">
        <v>1101</v>
      </c>
      <c r="J82" s="4">
        <v>1259</v>
      </c>
      <c r="K82" s="4">
        <v>1425</v>
      </c>
      <c r="L82" s="4">
        <v>1700</v>
      </c>
      <c r="M82" s="4">
        <v>1946</v>
      </c>
      <c r="N82" s="4">
        <v>2225</v>
      </c>
      <c r="O82" s="4">
        <v>2506</v>
      </c>
      <c r="P82" s="4">
        <v>2948</v>
      </c>
      <c r="Q82" s="4">
        <v>3308</v>
      </c>
      <c r="R82" s="4">
        <v>3891</v>
      </c>
      <c r="S82" s="4">
        <v>4218</v>
      </c>
      <c r="T82" s="4">
        <v>4697</v>
      </c>
      <c r="U82" s="4">
        <v>5245</v>
      </c>
      <c r="V82" s="4">
        <v>5490</v>
      </c>
      <c r="W82" s="4">
        <v>5998</v>
      </c>
      <c r="X82" s="4">
        <v>6560</v>
      </c>
      <c r="Y82" s="4">
        <v>6935</v>
      </c>
      <c r="Z82" s="4">
        <v>7542</v>
      </c>
      <c r="AA82" s="4">
        <v>7436</v>
      </c>
      <c r="AB82" s="4">
        <v>8693</v>
      </c>
      <c r="AC82" s="4">
        <v>8759</v>
      </c>
      <c r="AD82" s="4">
        <v>9074</v>
      </c>
      <c r="AE82" s="4">
        <v>9616</v>
      </c>
      <c r="AF82" s="4">
        <v>10935</v>
      </c>
      <c r="AG82" s="4">
        <v>11245</v>
      </c>
      <c r="AH82" s="4">
        <v>11844</v>
      </c>
      <c r="AI82" s="4">
        <v>12027</v>
      </c>
      <c r="AJ82" s="4">
        <v>12244</v>
      </c>
      <c r="AK82" s="4">
        <v>13365</v>
      </c>
      <c r="AL82" s="4">
        <v>13567</v>
      </c>
      <c r="AM82" s="4">
        <v>14095</v>
      </c>
      <c r="AN82" s="4">
        <v>14552</v>
      </c>
      <c r="AO82" s="4">
        <v>14967</v>
      </c>
      <c r="AP82" s="4">
        <v>15273</v>
      </c>
      <c r="AQ82" s="4">
        <v>15383</v>
      </c>
      <c r="AR82" s="4">
        <v>16125</v>
      </c>
      <c r="AS82" s="4">
        <v>16882</v>
      </c>
      <c r="AT82" s="4">
        <v>17524</v>
      </c>
      <c r="AU82" s="4">
        <v>17852</v>
      </c>
      <c r="AV82" s="4">
        <v>18647</v>
      </c>
      <c r="AW82" s="4">
        <v>19085</v>
      </c>
      <c r="AX82" s="4">
        <v>19145</v>
      </c>
      <c r="AY82" s="4">
        <v>18982</v>
      </c>
      <c r="AZ82" s="4">
        <v>18789</v>
      </c>
      <c r="BA82" s="4">
        <v>18793</v>
      </c>
      <c r="BB82" s="4">
        <v>19466</v>
      </c>
      <c r="BC82" s="4">
        <v>20102</v>
      </c>
      <c r="BD82" s="4">
        <v>20616</v>
      </c>
      <c r="BE82" s="4">
        <v>21460</v>
      </c>
      <c r="BF82" s="4">
        <v>21839</v>
      </c>
      <c r="BG82" s="4">
        <v>22589</v>
      </c>
      <c r="BH82" s="4">
        <v>23836</v>
      </c>
      <c r="BI82" s="4">
        <v>24718</v>
      </c>
      <c r="BJ82" s="4">
        <v>25669</v>
      </c>
    </row>
    <row r="83" spans="3:62" x14ac:dyDescent="0.2">
      <c r="C83" s="3" t="s">
        <v>102</v>
      </c>
      <c r="D83" s="4">
        <v>614</v>
      </c>
      <c r="E83" s="4">
        <v>611</v>
      </c>
      <c r="F83" s="4">
        <v>620</v>
      </c>
      <c r="G83" s="4">
        <v>599</v>
      </c>
      <c r="H83" s="4">
        <v>600</v>
      </c>
      <c r="I83" s="4">
        <v>613</v>
      </c>
      <c r="J83" s="4">
        <v>625</v>
      </c>
      <c r="K83" s="4">
        <v>671</v>
      </c>
      <c r="L83" s="4">
        <v>768</v>
      </c>
      <c r="M83" s="4">
        <v>853</v>
      </c>
      <c r="N83" s="4">
        <v>942</v>
      </c>
      <c r="O83" s="4">
        <v>988</v>
      </c>
      <c r="P83" s="4">
        <v>1010</v>
      </c>
      <c r="Q83" s="4">
        <v>1037</v>
      </c>
      <c r="R83" s="4">
        <v>1134</v>
      </c>
      <c r="S83" s="4">
        <v>1143</v>
      </c>
      <c r="T83" s="4">
        <v>1191</v>
      </c>
      <c r="U83" s="4">
        <v>1213</v>
      </c>
      <c r="V83" s="4">
        <v>1213</v>
      </c>
      <c r="W83" s="4">
        <v>1199</v>
      </c>
      <c r="X83" s="4">
        <v>1189</v>
      </c>
      <c r="Y83" s="4">
        <v>1258</v>
      </c>
      <c r="Z83" s="4">
        <v>1317</v>
      </c>
      <c r="AA83" s="4">
        <v>1350</v>
      </c>
      <c r="AB83" s="4">
        <v>1376</v>
      </c>
      <c r="AC83" s="4">
        <v>1407</v>
      </c>
      <c r="AD83" s="4">
        <v>1424</v>
      </c>
      <c r="AE83" s="4">
        <v>1470</v>
      </c>
      <c r="AF83" s="4">
        <v>1508</v>
      </c>
      <c r="AG83" s="4">
        <v>1551</v>
      </c>
      <c r="AH83" s="4">
        <v>1588</v>
      </c>
      <c r="AI83" s="4">
        <v>1618</v>
      </c>
      <c r="AJ83" s="4">
        <v>1544</v>
      </c>
      <c r="AK83" s="4">
        <v>1520</v>
      </c>
      <c r="AL83" s="4">
        <v>1583</v>
      </c>
      <c r="AM83" s="4">
        <v>1627</v>
      </c>
      <c r="AN83" s="4">
        <v>2069</v>
      </c>
      <c r="AO83" s="4">
        <v>2310</v>
      </c>
      <c r="AP83" s="4">
        <v>2474</v>
      </c>
      <c r="AQ83" s="4">
        <v>3031</v>
      </c>
      <c r="AR83" s="4">
        <v>3340</v>
      </c>
      <c r="AS83" s="4">
        <v>3543</v>
      </c>
      <c r="AT83" s="4">
        <v>3761</v>
      </c>
      <c r="AU83" s="4">
        <v>4116</v>
      </c>
      <c r="AV83" s="4">
        <v>4364</v>
      </c>
      <c r="AW83" s="4">
        <v>4679</v>
      </c>
      <c r="AX83" s="4">
        <v>4624</v>
      </c>
      <c r="AY83" s="4">
        <v>4898</v>
      </c>
      <c r="AZ83" s="4">
        <v>4979</v>
      </c>
      <c r="BA83" s="4">
        <v>4970</v>
      </c>
      <c r="BB83" s="4">
        <v>4983</v>
      </c>
      <c r="BC83" s="4">
        <v>5006</v>
      </c>
      <c r="BD83" s="4">
        <v>4768</v>
      </c>
      <c r="BE83" s="4">
        <v>4757</v>
      </c>
      <c r="BF83" s="4">
        <v>4850</v>
      </c>
      <c r="BG83" s="4">
        <v>4865</v>
      </c>
      <c r="BH83" s="4">
        <v>4906</v>
      </c>
      <c r="BI83" s="4">
        <v>4891</v>
      </c>
      <c r="BJ83" s="4">
        <v>4882</v>
      </c>
    </row>
    <row r="85" spans="3:62" x14ac:dyDescent="0.2">
      <c r="D85" s="3" t="s">
        <v>2</v>
      </c>
      <c r="E85" s="3" t="s">
        <v>3</v>
      </c>
      <c r="F85" s="3" t="s">
        <v>4</v>
      </c>
      <c r="G85" s="3" t="s">
        <v>5</v>
      </c>
      <c r="H85" s="3" t="s">
        <v>6</v>
      </c>
      <c r="I85" s="3" t="s">
        <v>7</v>
      </c>
      <c r="J85" s="3" t="s">
        <v>8</v>
      </c>
      <c r="K85" s="3" t="s">
        <v>9</v>
      </c>
      <c r="L85" s="3" t="s">
        <v>10</v>
      </c>
      <c r="M85" s="3" t="s">
        <v>11</v>
      </c>
      <c r="N85" s="3" t="s">
        <v>12</v>
      </c>
      <c r="O85" s="3" t="s">
        <v>13</v>
      </c>
      <c r="P85" s="3" t="s">
        <v>14</v>
      </c>
      <c r="Q85" s="3" t="s">
        <v>15</v>
      </c>
      <c r="R85" s="3" t="s">
        <v>16</v>
      </c>
      <c r="S85" s="3" t="s">
        <v>17</v>
      </c>
      <c r="T85" s="3" t="s">
        <v>18</v>
      </c>
      <c r="U85" s="3" t="s">
        <v>19</v>
      </c>
      <c r="V85" s="3" t="s">
        <v>20</v>
      </c>
      <c r="W85" s="3" t="s">
        <v>21</v>
      </c>
      <c r="X85" s="3" t="s">
        <v>22</v>
      </c>
      <c r="Y85" s="3" t="s">
        <v>23</v>
      </c>
      <c r="Z85" s="3" t="s">
        <v>24</v>
      </c>
      <c r="AA85" s="3" t="s">
        <v>25</v>
      </c>
      <c r="AB85" s="3" t="s">
        <v>26</v>
      </c>
      <c r="AC85" s="3" t="s">
        <v>27</v>
      </c>
      <c r="AD85" s="3" t="s">
        <v>28</v>
      </c>
      <c r="AE85" s="3" t="s">
        <v>29</v>
      </c>
      <c r="AF85" s="3" t="s">
        <v>30</v>
      </c>
      <c r="AG85" s="3" t="s">
        <v>31</v>
      </c>
      <c r="AH85" s="3" t="s">
        <v>32</v>
      </c>
      <c r="AI85" s="3" t="s">
        <v>33</v>
      </c>
      <c r="AJ85" s="3" t="s">
        <v>34</v>
      </c>
      <c r="AK85" s="3" t="s">
        <v>35</v>
      </c>
      <c r="AL85" s="3" t="s">
        <v>36</v>
      </c>
      <c r="AM85" s="3" t="s">
        <v>37</v>
      </c>
      <c r="AN85" s="3" t="s">
        <v>38</v>
      </c>
      <c r="AO85" s="3" t="s">
        <v>39</v>
      </c>
      <c r="AP85" s="3" t="s">
        <v>40</v>
      </c>
      <c r="AQ85" s="3" t="s">
        <v>41</v>
      </c>
      <c r="AR85" s="3" t="s">
        <v>42</v>
      </c>
      <c r="AS85" s="3" t="s">
        <v>43</v>
      </c>
      <c r="AT85" s="3" t="s">
        <v>44</v>
      </c>
      <c r="AU85" s="3" t="s">
        <v>45</v>
      </c>
      <c r="AV85" s="3" t="s">
        <v>46</v>
      </c>
      <c r="AW85" s="3" t="s">
        <v>47</v>
      </c>
      <c r="AX85" s="3" t="s">
        <v>48</v>
      </c>
      <c r="AY85" s="3" t="s">
        <v>49</v>
      </c>
      <c r="AZ85" s="3" t="s">
        <v>50</v>
      </c>
      <c r="BA85" s="3" t="s">
        <v>51</v>
      </c>
      <c r="BB85" s="3" t="s">
        <v>52</v>
      </c>
      <c r="BC85" s="3" t="s">
        <v>53</v>
      </c>
      <c r="BD85" s="3" t="s">
        <v>54</v>
      </c>
      <c r="BE85" s="3" t="s">
        <v>55</v>
      </c>
      <c r="BF85" s="3" t="s">
        <v>56</v>
      </c>
      <c r="BG85" s="3" t="s">
        <v>57</v>
      </c>
      <c r="BH85" s="3" t="s">
        <v>58</v>
      </c>
      <c r="BI85" s="3" t="s">
        <v>59</v>
      </c>
      <c r="BJ85" s="3" t="s">
        <v>60</v>
      </c>
    </row>
    <row r="86" spans="3:62" x14ac:dyDescent="0.2">
      <c r="C86" s="3" t="s">
        <v>104</v>
      </c>
      <c r="D86">
        <f>D44/D4</f>
        <v>0.55437427775134251</v>
      </c>
      <c r="E86">
        <f t="shared" ref="E86:BJ86" si="0">E44/E4</f>
        <v>0.56352280910874375</v>
      </c>
      <c r="F86">
        <f t="shared" si="0"/>
        <v>0.56873014800297361</v>
      </c>
      <c r="G86">
        <f t="shared" si="0"/>
        <v>0.568472390881537</v>
      </c>
      <c r="H86">
        <f t="shared" si="0"/>
        <v>0.58020089146700593</v>
      </c>
      <c r="I86">
        <f t="shared" si="0"/>
        <v>0.58959616153538585</v>
      </c>
      <c r="J86">
        <f t="shared" si="0"/>
        <v>0.57582176308733801</v>
      </c>
      <c r="K86">
        <f t="shared" si="0"/>
        <v>0.56888942774005824</v>
      </c>
      <c r="L86">
        <f t="shared" si="0"/>
        <v>0.59364147845048054</v>
      </c>
      <c r="M86">
        <f t="shared" si="0"/>
        <v>0.59643077160018476</v>
      </c>
      <c r="N86">
        <f t="shared" si="0"/>
        <v>0.59481883541245462</v>
      </c>
      <c r="O86">
        <f t="shared" si="0"/>
        <v>0.59712402681907772</v>
      </c>
      <c r="P86">
        <f t="shared" si="0"/>
        <v>0.59929242926876325</v>
      </c>
      <c r="Q86">
        <f t="shared" si="0"/>
        <v>0.60805987982746701</v>
      </c>
      <c r="R86">
        <f t="shared" si="0"/>
        <v>0.62077072709720627</v>
      </c>
      <c r="S86">
        <f t="shared" si="0"/>
        <v>0.61159070712200081</v>
      </c>
      <c r="T86">
        <f t="shared" si="0"/>
        <v>0.60325804388535886</v>
      </c>
      <c r="U86">
        <f t="shared" si="0"/>
        <v>0.6012258228262306</v>
      </c>
      <c r="V86">
        <f t="shared" si="0"/>
        <v>0.58786822758616764</v>
      </c>
      <c r="W86">
        <f t="shared" si="0"/>
        <v>0.58827118703676029</v>
      </c>
      <c r="X86">
        <f t="shared" si="0"/>
        <v>0.59911304521144071</v>
      </c>
      <c r="Y86">
        <f t="shared" si="0"/>
        <v>0.61587146496555978</v>
      </c>
      <c r="Z86">
        <f t="shared" si="0"/>
        <v>0.62231120439726084</v>
      </c>
      <c r="AA86">
        <f t="shared" si="0"/>
        <v>0.60967516196753879</v>
      </c>
      <c r="AB86">
        <f t="shared" si="0"/>
        <v>0.60630310375008412</v>
      </c>
      <c r="AC86">
        <f t="shared" si="0"/>
        <v>0.60053374806884474</v>
      </c>
      <c r="AD86">
        <f t="shared" si="0"/>
        <v>0.59484823262578645</v>
      </c>
      <c r="AE86">
        <f t="shared" si="0"/>
        <v>0.59277477990608174</v>
      </c>
      <c r="AF86">
        <f t="shared" si="0"/>
        <v>0.57645221410033853</v>
      </c>
      <c r="AG86">
        <f t="shared" si="0"/>
        <v>0.57842190482987488</v>
      </c>
      <c r="AH86">
        <f t="shared" si="0"/>
        <v>0.5836605442424061</v>
      </c>
      <c r="AI86">
        <f t="shared" si="0"/>
        <v>0.58254363633219863</v>
      </c>
      <c r="AJ86">
        <f t="shared" si="0"/>
        <v>0.59966453386247476</v>
      </c>
      <c r="AK86">
        <f t="shared" si="0"/>
        <v>0.6004166281074772</v>
      </c>
      <c r="AL86">
        <f t="shared" si="0"/>
        <v>0.57981488647526125</v>
      </c>
      <c r="AM86">
        <f t="shared" si="0"/>
        <v>0.58965253487258373</v>
      </c>
      <c r="AN86">
        <f t="shared" si="0"/>
        <v>0.5953869695410714</v>
      </c>
      <c r="AO86">
        <f t="shared" si="0"/>
        <v>0.59854203246424942</v>
      </c>
      <c r="AP86">
        <f t="shared" si="0"/>
        <v>0.58918619637326219</v>
      </c>
      <c r="AQ86">
        <f t="shared" si="0"/>
        <v>0.59180998260087347</v>
      </c>
      <c r="AR86">
        <f t="shared" si="0"/>
        <v>0.59205978866979003</v>
      </c>
      <c r="AS86">
        <f t="shared" si="0"/>
        <v>0.60935548743897894</v>
      </c>
      <c r="AT86">
        <f t="shared" si="0"/>
        <v>0.61125303733192138</v>
      </c>
      <c r="AU86">
        <f t="shared" si="0"/>
        <v>0.63376099583950263</v>
      </c>
      <c r="AV86">
        <f t="shared" si="0"/>
        <v>0.60948043044773026</v>
      </c>
      <c r="AW86">
        <f t="shared" si="0"/>
        <v>0.60619360550453538</v>
      </c>
      <c r="AX86">
        <f t="shared" si="0"/>
        <v>0.5981372859763493</v>
      </c>
      <c r="AY86">
        <f t="shared" si="0"/>
        <v>0.5934212199112221</v>
      </c>
      <c r="AZ86">
        <f t="shared" si="0"/>
        <v>0.59109918384929738</v>
      </c>
      <c r="BA86">
        <f t="shared" si="0"/>
        <v>0.59446774850242956</v>
      </c>
      <c r="BB86">
        <f t="shared" si="0"/>
        <v>0.59311024302365067</v>
      </c>
      <c r="BC86">
        <f t="shared" si="0"/>
        <v>0.58637537831872588</v>
      </c>
      <c r="BD86">
        <f t="shared" si="0"/>
        <v>0.59339916693005246</v>
      </c>
      <c r="BE86">
        <f t="shared" si="0"/>
        <v>0.59524746450810084</v>
      </c>
      <c r="BF86">
        <f t="shared" si="0"/>
        <v>0.59881166762313731</v>
      </c>
      <c r="BG86">
        <f t="shared" si="0"/>
        <v>0.57473492164542805</v>
      </c>
      <c r="BH86">
        <f t="shared" si="0"/>
        <v>0.54792162365321972</v>
      </c>
      <c r="BI86">
        <f t="shared" si="0"/>
        <v>0.57962033673142899</v>
      </c>
      <c r="BJ86">
        <f t="shared" si="0"/>
        <v>0.58016709268747813</v>
      </c>
    </row>
    <row r="87" spans="3:62" x14ac:dyDescent="0.2">
      <c r="D87">
        <f>SUM(D45:D83)/D4</f>
        <v>0.68014410984977225</v>
      </c>
      <c r="E87">
        <f t="shared" ref="E87:BJ87" si="1">SUM(E45:E83)/E4</f>
        <v>0.69770791427649059</v>
      </c>
      <c r="F87">
        <f t="shared" si="1"/>
        <v>0.70898380302313535</v>
      </c>
      <c r="G87">
        <f t="shared" si="1"/>
        <v>0.7132956194650949</v>
      </c>
      <c r="H87">
        <f t="shared" si="1"/>
        <v>0.73626989563964096</v>
      </c>
      <c r="I87">
        <f t="shared" si="1"/>
        <v>0.75837664934026394</v>
      </c>
      <c r="J87">
        <f t="shared" si="1"/>
        <v>0.74581817414129192</v>
      </c>
      <c r="K87">
        <f t="shared" si="1"/>
        <v>0.7364451988360815</v>
      </c>
      <c r="L87">
        <f t="shared" si="1"/>
        <v>0.7722884755161924</v>
      </c>
      <c r="M87">
        <f t="shared" si="1"/>
        <v>0.78354574156784229</v>
      </c>
      <c r="N87">
        <f t="shared" si="1"/>
        <v>0.78161676496002552</v>
      </c>
      <c r="O87">
        <f t="shared" si="1"/>
        <v>0.78539791018196481</v>
      </c>
      <c r="P87">
        <f t="shared" si="1"/>
        <v>0.79103238496808348</v>
      </c>
      <c r="Q87">
        <f t="shared" si="1"/>
        <v>0.80403619564163442</v>
      </c>
      <c r="R87">
        <f t="shared" si="1"/>
        <v>0.82527460740345615</v>
      </c>
      <c r="S87">
        <f t="shared" si="1"/>
        <v>0.82348662773475523</v>
      </c>
      <c r="T87">
        <f t="shared" si="1"/>
        <v>0.81872558537584139</v>
      </c>
      <c r="U87">
        <f t="shared" si="1"/>
        <v>0.8127117239759114</v>
      </c>
      <c r="V87">
        <f t="shared" si="1"/>
        <v>0.7855724522156835</v>
      </c>
      <c r="W87">
        <f t="shared" si="1"/>
        <v>0.78049359487238101</v>
      </c>
      <c r="X87">
        <f t="shared" si="1"/>
        <v>0.78716407002624322</v>
      </c>
      <c r="Y87">
        <f t="shared" si="1"/>
        <v>0.8101302292517103</v>
      </c>
      <c r="Z87">
        <f t="shared" si="1"/>
        <v>0.82480170437398936</v>
      </c>
      <c r="AA87">
        <f t="shared" si="1"/>
        <v>0.80764661730513099</v>
      </c>
      <c r="AB87">
        <f t="shared" si="1"/>
        <v>0.79860095603581771</v>
      </c>
      <c r="AC87">
        <f t="shared" si="1"/>
        <v>0.79217410624325069</v>
      </c>
      <c r="AD87">
        <f t="shared" si="1"/>
        <v>0.78549771512249256</v>
      </c>
      <c r="AE87">
        <f t="shared" si="1"/>
        <v>0.7879319123544779</v>
      </c>
      <c r="AF87">
        <f t="shared" si="1"/>
        <v>0.76558695286146417</v>
      </c>
      <c r="AG87">
        <f t="shared" si="1"/>
        <v>0.76417114207718517</v>
      </c>
      <c r="AH87">
        <f t="shared" si="1"/>
        <v>0.77017289988308046</v>
      </c>
      <c r="AI87">
        <f t="shared" si="1"/>
        <v>0.76640360950097797</v>
      </c>
      <c r="AJ87">
        <f t="shared" si="1"/>
        <v>0.78800579837574192</v>
      </c>
      <c r="AK87">
        <f t="shared" si="1"/>
        <v>0.78896067718120677</v>
      </c>
      <c r="AL87">
        <f t="shared" si="1"/>
        <v>0.76010796537963854</v>
      </c>
      <c r="AM87">
        <f t="shared" si="1"/>
        <v>0.77243174822358385</v>
      </c>
      <c r="AN87">
        <f t="shared" si="1"/>
        <v>0.78184897173084278</v>
      </c>
      <c r="AO87">
        <f t="shared" si="1"/>
        <v>0.78756818574629173</v>
      </c>
      <c r="AP87">
        <f t="shared" si="1"/>
        <v>0.77626906091384273</v>
      </c>
      <c r="AQ87">
        <f t="shared" si="1"/>
        <v>0.77545731887746039</v>
      </c>
      <c r="AR87">
        <f t="shared" si="1"/>
        <v>0.77284970359160798</v>
      </c>
      <c r="AS87">
        <f t="shared" si="1"/>
        <v>0.78965695735145447</v>
      </c>
      <c r="AT87">
        <f t="shared" si="1"/>
        <v>0.79203902195499631</v>
      </c>
      <c r="AU87">
        <f t="shared" si="1"/>
        <v>0.83581310590174263</v>
      </c>
      <c r="AV87">
        <f t="shared" si="1"/>
        <v>0.80960616831111942</v>
      </c>
      <c r="AW87">
        <f t="shared" si="1"/>
        <v>0.80071515320994446</v>
      </c>
      <c r="AX87">
        <f t="shared" si="1"/>
        <v>0.79068728652704978</v>
      </c>
      <c r="AY87">
        <f t="shared" si="1"/>
        <v>0.78255085151935311</v>
      </c>
      <c r="AZ87">
        <f t="shared" si="1"/>
        <v>0.77835687091779115</v>
      </c>
      <c r="BA87">
        <f t="shared" si="1"/>
        <v>0.77934820691883511</v>
      </c>
      <c r="BB87">
        <f t="shared" si="1"/>
        <v>0.77268256396781188</v>
      </c>
      <c r="BC87">
        <f t="shared" si="1"/>
        <v>0.76111792198624029</v>
      </c>
      <c r="BD87">
        <f t="shared" si="1"/>
        <v>0.76840090142176931</v>
      </c>
      <c r="BE87">
        <f t="shared" si="1"/>
        <v>0.76911026490809387</v>
      </c>
      <c r="BF87">
        <f t="shared" si="1"/>
        <v>0.77516919636673065</v>
      </c>
      <c r="BG87">
        <f t="shared" si="1"/>
        <v>0.7427409173797167</v>
      </c>
      <c r="BH87">
        <f t="shared" si="1"/>
        <v>0.70266659984966173</v>
      </c>
      <c r="BI87">
        <f t="shared" si="1"/>
        <v>0.74043693272256716</v>
      </c>
      <c r="BJ87">
        <f t="shared" si="1"/>
        <v>0.74147861992389452</v>
      </c>
    </row>
    <row r="89" spans="3:62" x14ac:dyDescent="0.2">
      <c r="Z89">
        <v>2024</v>
      </c>
      <c r="AA89" t="s">
        <v>104</v>
      </c>
    </row>
    <row r="90" spans="3:62" x14ac:dyDescent="0.2">
      <c r="Z90" s="3" t="s">
        <v>63</v>
      </c>
      <c r="AA90" s="5">
        <f>BJ44/BJ4</f>
        <v>0.58016709268747813</v>
      </c>
    </row>
    <row r="91" spans="3:62" x14ac:dyDescent="0.2">
      <c r="Z91" s="3" t="s">
        <v>64</v>
      </c>
      <c r="AA91" s="5">
        <f t="shared" ref="AA91:AA129" si="2">BJ45/BJ5</f>
        <v>0.86176882517712972</v>
      </c>
    </row>
    <row r="92" spans="3:62" x14ac:dyDescent="0.2">
      <c r="Z92" s="3" t="s">
        <v>65</v>
      </c>
      <c r="AA92" s="5">
        <f t="shared" si="2"/>
        <v>0.53080690899716421</v>
      </c>
    </row>
    <row r="93" spans="3:62" x14ac:dyDescent="0.2">
      <c r="Z93" s="3" t="s">
        <v>66</v>
      </c>
      <c r="AA93" s="5">
        <f t="shared" si="2"/>
        <v>0.27537116127720157</v>
      </c>
    </row>
    <row r="94" spans="3:62" x14ac:dyDescent="0.2">
      <c r="Z94" s="3" t="s">
        <v>67</v>
      </c>
      <c r="AA94" s="5">
        <f t="shared" si="2"/>
        <v>0.62294280194654339</v>
      </c>
    </row>
    <row r="95" spans="3:62" x14ac:dyDescent="0.2">
      <c r="Z95" s="3" t="s">
        <v>68</v>
      </c>
      <c r="AA95" s="5">
        <f t="shared" si="2"/>
        <v>0.66187464059804491</v>
      </c>
    </row>
    <row r="96" spans="3:62" x14ac:dyDescent="0.2">
      <c r="Z96" s="3" t="s">
        <v>69</v>
      </c>
      <c r="AA96" s="5">
        <f t="shared" si="2"/>
        <v>0.72359550561797747</v>
      </c>
    </row>
    <row r="97" spans="26:27" x14ac:dyDescent="0.2">
      <c r="Z97" s="3" t="s">
        <v>70</v>
      </c>
      <c r="AA97" s="5">
        <f t="shared" si="2"/>
        <v>0.19121849831124968</v>
      </c>
    </row>
    <row r="98" spans="26:27" x14ac:dyDescent="0.2">
      <c r="Z98" s="3" t="s">
        <v>71</v>
      </c>
      <c r="AA98" s="5">
        <f t="shared" si="2"/>
        <v>0.30952113519787339</v>
      </c>
    </row>
    <row r="99" spans="26:27" x14ac:dyDescent="0.2">
      <c r="Z99" s="3" t="s">
        <v>72</v>
      </c>
      <c r="AA99" s="5">
        <f t="shared" si="2"/>
        <v>0.14672175943560273</v>
      </c>
    </row>
    <row r="100" spans="26:27" x14ac:dyDescent="0.2">
      <c r="Z100" s="3" t="s">
        <v>73</v>
      </c>
      <c r="AA100" s="5">
        <f t="shared" si="2"/>
        <v>0.62159022259398666</v>
      </c>
    </row>
    <row r="101" spans="26:27" x14ac:dyDescent="0.2">
      <c r="Z101" s="3" t="s">
        <v>74</v>
      </c>
      <c r="AA101" s="5">
        <f t="shared" si="2"/>
        <v>0.74107523823069266</v>
      </c>
    </row>
    <row r="102" spans="26:27" x14ac:dyDescent="0.2">
      <c r="Z102" s="3" t="s">
        <v>75</v>
      </c>
      <c r="AA102" s="5">
        <f t="shared" si="2"/>
        <v>0.434126679462572</v>
      </c>
    </row>
    <row r="103" spans="26:27" x14ac:dyDescent="0.2">
      <c r="Z103" s="3" t="s">
        <v>76</v>
      </c>
      <c r="AA103" s="5">
        <f t="shared" si="2"/>
        <v>0.67580440304826417</v>
      </c>
    </row>
    <row r="104" spans="26:27" x14ac:dyDescent="0.2">
      <c r="Z104" s="3" t="s">
        <v>77</v>
      </c>
      <c r="AA104" s="5">
        <f t="shared" si="2"/>
        <v>0.64881248666714075</v>
      </c>
    </row>
    <row r="105" spans="26:27" x14ac:dyDescent="0.2">
      <c r="Z105" s="3" t="s">
        <v>78</v>
      </c>
      <c r="AA105" s="5">
        <f t="shared" si="2"/>
        <v>0.64457632706890866</v>
      </c>
    </row>
    <row r="106" spans="26:27" x14ac:dyDescent="0.2">
      <c r="Z106" s="3" t="s">
        <v>79</v>
      </c>
      <c r="AA106" s="5">
        <f t="shared" si="2"/>
        <v>0.42541935212982596</v>
      </c>
    </row>
    <row r="107" spans="26:27" x14ac:dyDescent="0.2">
      <c r="Z107" s="3" t="s">
        <v>80</v>
      </c>
      <c r="AA107" s="5">
        <f t="shared" si="2"/>
        <v>0.5489169675090253</v>
      </c>
    </row>
    <row r="108" spans="26:27" x14ac:dyDescent="0.2">
      <c r="Z108" s="3" t="s">
        <v>81</v>
      </c>
      <c r="AA108" s="5">
        <f t="shared" si="2"/>
        <v>0.355281207133059</v>
      </c>
    </row>
    <row r="109" spans="26:27" x14ac:dyDescent="0.2">
      <c r="Z109" s="3" t="s">
        <v>82</v>
      </c>
      <c r="AA109" s="5">
        <f t="shared" si="2"/>
        <v>0.8041233818123702</v>
      </c>
    </row>
    <row r="110" spans="26:27" x14ac:dyDescent="0.2">
      <c r="Z110" s="3" t="s">
        <v>83</v>
      </c>
      <c r="AA110" s="5">
        <f t="shared" si="2"/>
        <v>0.72768264296312435</v>
      </c>
    </row>
    <row r="111" spans="26:27" x14ac:dyDescent="0.2">
      <c r="Z111" s="3" t="s">
        <v>84</v>
      </c>
      <c r="AA111" s="5">
        <f t="shared" si="2"/>
        <v>0.47829461375278109</v>
      </c>
    </row>
    <row r="112" spans="26:27" x14ac:dyDescent="0.2">
      <c r="Z112" s="3" t="s">
        <v>85</v>
      </c>
      <c r="AA112" s="5">
        <f t="shared" si="2"/>
        <v>0.78832878662080419</v>
      </c>
    </row>
    <row r="113" spans="26:27" x14ac:dyDescent="0.2">
      <c r="Z113" s="3" t="s">
        <v>86</v>
      </c>
      <c r="AA113" s="5">
        <f t="shared" si="2"/>
        <v>0.6109008084178108</v>
      </c>
    </row>
    <row r="114" spans="26:27" x14ac:dyDescent="0.2">
      <c r="Z114" s="3" t="s">
        <v>87</v>
      </c>
      <c r="AA114" s="5">
        <f t="shared" si="2"/>
        <v>0.38052366040361862</v>
      </c>
    </row>
    <row r="115" spans="26:27" x14ac:dyDescent="0.2">
      <c r="Z115" s="3" t="s">
        <v>88</v>
      </c>
      <c r="AA115" s="5">
        <f t="shared" si="2"/>
        <v>0.68366007153529229</v>
      </c>
    </row>
    <row r="116" spans="26:27" x14ac:dyDescent="0.2">
      <c r="Z116" s="3" t="s">
        <v>89</v>
      </c>
      <c r="AA116" s="5">
        <f t="shared" si="2"/>
        <v>0.44308840445529274</v>
      </c>
    </row>
    <row r="117" spans="26:27" x14ac:dyDescent="0.2">
      <c r="Z117" s="3" t="s">
        <v>90</v>
      </c>
      <c r="AA117" s="5">
        <f t="shared" si="2"/>
        <v>0.20410121117640004</v>
      </c>
    </row>
    <row r="118" spans="26:27" x14ac:dyDescent="0.2">
      <c r="Z118" s="3" t="s">
        <v>91</v>
      </c>
      <c r="AA118" s="5">
        <f t="shared" si="2"/>
        <v>4.0373875667452805E-2</v>
      </c>
    </row>
    <row r="119" spans="26:27" x14ac:dyDescent="0.2">
      <c r="Z119" s="3" t="s">
        <v>92</v>
      </c>
      <c r="AA119" s="5">
        <f t="shared" si="2"/>
        <v>0.79917836126848896</v>
      </c>
    </row>
    <row r="120" spans="26:27" x14ac:dyDescent="0.2">
      <c r="Z120" s="3" t="s">
        <v>93</v>
      </c>
      <c r="AA120" s="5">
        <f t="shared" si="2"/>
        <v>0.46145500395859601</v>
      </c>
    </row>
    <row r="121" spans="26:27" x14ac:dyDescent="0.2">
      <c r="Z121" s="3" t="s">
        <v>94</v>
      </c>
      <c r="AA121" s="5">
        <f t="shared" si="2"/>
        <v>0.59628797272163669</v>
      </c>
    </row>
    <row r="122" spans="26:27" x14ac:dyDescent="0.2">
      <c r="Z122" s="3" t="s">
        <v>95</v>
      </c>
      <c r="AA122" s="5">
        <f t="shared" si="2"/>
        <v>0.83505021557844727</v>
      </c>
    </row>
    <row r="123" spans="26:27" x14ac:dyDescent="0.2">
      <c r="Z123" s="3" t="s">
        <v>96</v>
      </c>
      <c r="AA123" s="5">
        <f t="shared" si="2"/>
        <v>0.79677962620661325</v>
      </c>
    </row>
    <row r="124" spans="26:27" x14ac:dyDescent="0.2">
      <c r="Z124" s="3" t="s">
        <v>97</v>
      </c>
      <c r="AA124" s="5">
        <f t="shared" si="2"/>
        <v>0.83722439326863451</v>
      </c>
    </row>
    <row r="125" spans="26:27" x14ac:dyDescent="0.2">
      <c r="Z125" s="3" t="s">
        <v>98</v>
      </c>
      <c r="AA125" s="5">
        <f t="shared" si="2"/>
        <v>0.93883925328684537</v>
      </c>
    </row>
    <row r="126" spans="26:27" x14ac:dyDescent="0.2">
      <c r="Z126" s="3" t="s">
        <v>99</v>
      </c>
      <c r="AA126" s="5">
        <f t="shared" si="2"/>
        <v>0.9763984821865499</v>
      </c>
    </row>
    <row r="127" spans="26:27" x14ac:dyDescent="0.2">
      <c r="Z127" s="3" t="s">
        <v>100</v>
      </c>
      <c r="AA127" s="5">
        <f t="shared" si="2"/>
        <v>0.57764934615282182</v>
      </c>
    </row>
    <row r="128" spans="26:27" x14ac:dyDescent="0.2">
      <c r="Z128" s="3" t="s">
        <v>101</v>
      </c>
      <c r="AA128" s="5">
        <f t="shared" si="2"/>
        <v>0.70857947330646498</v>
      </c>
    </row>
    <row r="129" spans="4:27" x14ac:dyDescent="0.2">
      <c r="Z129" s="3" t="s">
        <v>102</v>
      </c>
      <c r="AA129" s="5">
        <f t="shared" si="2"/>
        <v>1</v>
      </c>
    </row>
    <row r="139" spans="4:27" ht="16" x14ac:dyDescent="0.2">
      <c r="D139" s="6">
        <v>0</v>
      </c>
      <c r="E139" s="6" t="s">
        <v>107</v>
      </c>
      <c r="F139" s="6" t="s">
        <v>108</v>
      </c>
    </row>
    <row r="140" spans="4:27" ht="16" x14ac:dyDescent="0.2">
      <c r="D140" s="6">
        <v>1</v>
      </c>
      <c r="E140" s="6" t="s">
        <v>109</v>
      </c>
      <c r="F140" s="6" t="s">
        <v>110</v>
      </c>
    </row>
    <row r="141" spans="4:27" ht="16" x14ac:dyDescent="0.2">
      <c r="D141" s="6">
        <v>2</v>
      </c>
      <c r="E141" s="6" t="s">
        <v>111</v>
      </c>
      <c r="F141" s="6" t="s">
        <v>108</v>
      </c>
    </row>
    <row r="142" spans="4:27" ht="16" x14ac:dyDescent="0.2">
      <c r="D142" s="6">
        <v>3</v>
      </c>
      <c r="E142" s="6" t="s">
        <v>112</v>
      </c>
      <c r="F142" s="6" t="s">
        <v>110</v>
      </c>
    </row>
    <row r="143" spans="4:27" ht="16" x14ac:dyDescent="0.2">
      <c r="D143" s="6">
        <v>4</v>
      </c>
      <c r="E143" s="6" t="s">
        <v>113</v>
      </c>
      <c r="F143" s="6" t="s">
        <v>108</v>
      </c>
    </row>
    <row r="144" spans="4:27" ht="16" x14ac:dyDescent="0.2">
      <c r="D144" s="6">
        <v>5</v>
      </c>
      <c r="E144" s="6" t="s">
        <v>114</v>
      </c>
      <c r="F144" s="6" t="s">
        <v>108</v>
      </c>
    </row>
    <row r="145" spans="4:6" ht="16" x14ac:dyDescent="0.2">
      <c r="D145" s="6">
        <v>6</v>
      </c>
      <c r="E145" s="6" t="s">
        <v>115</v>
      </c>
      <c r="F145" s="6" t="s">
        <v>110</v>
      </c>
    </row>
    <row r="146" spans="4:6" ht="16" x14ac:dyDescent="0.2">
      <c r="D146" s="6">
        <v>7</v>
      </c>
      <c r="E146" s="6" t="s">
        <v>116</v>
      </c>
      <c r="F146" s="6" t="s">
        <v>110</v>
      </c>
    </row>
    <row r="147" spans="4:6" ht="16" x14ac:dyDescent="0.2">
      <c r="D147" s="6">
        <v>8</v>
      </c>
      <c r="E147" s="6" t="s">
        <v>117</v>
      </c>
      <c r="F147" s="6" t="s">
        <v>110</v>
      </c>
    </row>
    <row r="148" spans="4:6" ht="16" x14ac:dyDescent="0.2">
      <c r="D148" s="6">
        <v>9</v>
      </c>
      <c r="E148" s="6" t="s">
        <v>118</v>
      </c>
      <c r="F148" s="6" t="s">
        <v>110</v>
      </c>
    </row>
    <row r="149" spans="4:6" ht="16" x14ac:dyDescent="0.2">
      <c r="D149" s="6">
        <v>10</v>
      </c>
      <c r="E149" s="6" t="s">
        <v>119</v>
      </c>
      <c r="F149" s="6" t="s">
        <v>110</v>
      </c>
    </row>
    <row r="150" spans="4:6" ht="16" x14ac:dyDescent="0.2">
      <c r="D150" s="6">
        <v>11</v>
      </c>
      <c r="E150" s="6" t="s">
        <v>120</v>
      </c>
      <c r="F150" s="6" t="s">
        <v>110</v>
      </c>
    </row>
    <row r="151" spans="4:6" ht="16" x14ac:dyDescent="0.2">
      <c r="D151" s="6">
        <v>12</v>
      </c>
      <c r="E151" s="6" t="s">
        <v>121</v>
      </c>
      <c r="F151" s="6" t="s">
        <v>110</v>
      </c>
    </row>
    <row r="152" spans="4:6" ht="16" x14ac:dyDescent="0.2">
      <c r="D152" s="6">
        <v>13</v>
      </c>
      <c r="E152" s="6" t="s">
        <v>122</v>
      </c>
      <c r="F152" s="6" t="s">
        <v>110</v>
      </c>
    </row>
    <row r="153" spans="4:6" ht="16" x14ac:dyDescent="0.2">
      <c r="D153" s="6">
        <v>14</v>
      </c>
      <c r="E153" s="6" t="s">
        <v>123</v>
      </c>
      <c r="F153" s="6" t="s">
        <v>108</v>
      </c>
    </row>
    <row r="154" spans="4:6" ht="16" x14ac:dyDescent="0.2">
      <c r="D154" s="6">
        <v>15</v>
      </c>
      <c r="E154" s="6" t="s">
        <v>124</v>
      </c>
      <c r="F154" s="6" t="s">
        <v>108</v>
      </c>
    </row>
    <row r="155" spans="4:6" ht="16" x14ac:dyDescent="0.2">
      <c r="D155" s="6">
        <v>16</v>
      </c>
      <c r="E155" s="6" t="s">
        <v>125</v>
      </c>
      <c r="F155" s="6" t="s">
        <v>110</v>
      </c>
    </row>
    <row r="156" spans="4:6" ht="16" x14ac:dyDescent="0.2">
      <c r="D156" s="6">
        <v>17</v>
      </c>
      <c r="E156" s="6" t="s">
        <v>126</v>
      </c>
      <c r="F156" s="6" t="s">
        <v>108</v>
      </c>
    </row>
    <row r="157" spans="4:6" ht="16" x14ac:dyDescent="0.2">
      <c r="D157" s="6">
        <v>18</v>
      </c>
      <c r="E157" s="6" t="s">
        <v>127</v>
      </c>
      <c r="F157" s="6" t="s">
        <v>110</v>
      </c>
    </row>
    <row r="158" spans="4:6" ht="16" x14ac:dyDescent="0.2">
      <c r="D158" s="6">
        <v>19</v>
      </c>
      <c r="E158" s="6" t="s">
        <v>128</v>
      </c>
      <c r="F158" s="6" t="s">
        <v>108</v>
      </c>
    </row>
    <row r="159" spans="4:6" ht="16" x14ac:dyDescent="0.2">
      <c r="D159" s="6">
        <v>20</v>
      </c>
      <c r="E159" s="6" t="s">
        <v>129</v>
      </c>
      <c r="F159" s="6" t="s">
        <v>108</v>
      </c>
    </row>
    <row r="160" spans="4:6" ht="16" x14ac:dyDescent="0.2">
      <c r="D160" s="6">
        <v>21</v>
      </c>
      <c r="E160" s="6" t="s">
        <v>130</v>
      </c>
      <c r="F160" s="6" t="s">
        <v>108</v>
      </c>
    </row>
    <row r="161" spans="4:6" ht="16" x14ac:dyDescent="0.2">
      <c r="D161" s="6">
        <v>22</v>
      </c>
      <c r="E161" s="6" t="s">
        <v>131</v>
      </c>
      <c r="F161" s="6" t="s">
        <v>110</v>
      </c>
    </row>
    <row r="162" spans="4:6" ht="16" x14ac:dyDescent="0.2">
      <c r="D162" s="6">
        <v>23</v>
      </c>
      <c r="E162" s="6" t="s">
        <v>132</v>
      </c>
      <c r="F162" s="6" t="s">
        <v>108</v>
      </c>
    </row>
    <row r="163" spans="4:6" ht="16" x14ac:dyDescent="0.2">
      <c r="D163" s="6">
        <v>24</v>
      </c>
      <c r="E163" s="6" t="s">
        <v>133</v>
      </c>
      <c r="F163" s="6" t="s">
        <v>110</v>
      </c>
    </row>
    <row r="164" spans="4:6" ht="16" x14ac:dyDescent="0.2">
      <c r="D164" s="6">
        <v>25</v>
      </c>
      <c r="E164" s="6" t="s">
        <v>134</v>
      </c>
      <c r="F164" s="6" t="s">
        <v>110</v>
      </c>
    </row>
    <row r="165" spans="4:6" ht="16" x14ac:dyDescent="0.2">
      <c r="D165" s="6">
        <v>26</v>
      </c>
      <c r="E165" s="6" t="s">
        <v>135</v>
      </c>
      <c r="F165" s="6" t="s">
        <v>110</v>
      </c>
    </row>
    <row r="166" spans="4:6" ht="16" x14ac:dyDescent="0.2">
      <c r="D166" s="6">
        <v>27</v>
      </c>
      <c r="E166" s="6" t="s">
        <v>136</v>
      </c>
      <c r="F166" s="6" t="s">
        <v>108</v>
      </c>
    </row>
    <row r="167" spans="4:6" ht="16" x14ac:dyDescent="0.2">
      <c r="D167" s="6">
        <v>28</v>
      </c>
      <c r="E167" s="6" t="s">
        <v>137</v>
      </c>
      <c r="F167" s="6" t="s">
        <v>108</v>
      </c>
    </row>
    <row r="168" spans="4:6" ht="16" x14ac:dyDescent="0.2">
      <c r="D168" s="6">
        <v>29</v>
      </c>
      <c r="E168" s="6" t="s">
        <v>138</v>
      </c>
      <c r="F168" s="6" t="s">
        <v>108</v>
      </c>
    </row>
    <row r="169" spans="4:6" ht="16" x14ac:dyDescent="0.2">
      <c r="D169" s="6">
        <v>30</v>
      </c>
      <c r="E169" s="6" t="s">
        <v>139</v>
      </c>
      <c r="F169" s="6" t="s">
        <v>108</v>
      </c>
    </row>
    <row r="170" spans="4:6" ht="16" x14ac:dyDescent="0.2">
      <c r="D170" s="6">
        <v>31</v>
      </c>
      <c r="E170" s="6" t="s">
        <v>140</v>
      </c>
      <c r="F170" s="6" t="s">
        <v>108</v>
      </c>
    </row>
  </sheetData>
  <pageMargins left="0.75" right="0.75" top="0.75" bottom="0.5" header="0.5" footer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07B0-13CF-4243-AB13-628DD2B1CB1D}">
  <dimension ref="A3:BJ110"/>
  <sheetViews>
    <sheetView topLeftCell="A80" zoomScale="143" workbookViewId="0">
      <selection activeCell="H111" sqref="H111"/>
    </sheetView>
  </sheetViews>
  <sheetFormatPr baseColWidth="10" defaultRowHeight="15" x14ac:dyDescent="0.2"/>
  <cols>
    <col min="4" max="4" width="11.1640625" bestFit="1" customWidth="1"/>
    <col min="5" max="5" width="12.6640625" bestFit="1" customWidth="1"/>
  </cols>
  <sheetData>
    <row r="3" spans="5:14" ht="16" x14ac:dyDescent="0.2">
      <c r="L3" s="7" t="s">
        <v>141</v>
      </c>
      <c r="M3" s="7" t="s">
        <v>142</v>
      </c>
    </row>
    <row r="4" spans="5:14" ht="16" x14ac:dyDescent="0.2">
      <c r="E4">
        <v>0</v>
      </c>
      <c r="F4" s="6" t="s">
        <v>107</v>
      </c>
      <c r="L4" s="6">
        <v>0</v>
      </c>
      <c r="M4" s="6" t="s">
        <v>107</v>
      </c>
      <c r="N4" s="6" t="s">
        <v>108</v>
      </c>
    </row>
    <row r="5" spans="5:14" ht="16" x14ac:dyDescent="0.2">
      <c r="E5">
        <v>1</v>
      </c>
      <c r="F5" s="6" t="s">
        <v>109</v>
      </c>
      <c r="L5" s="6">
        <v>1</v>
      </c>
      <c r="M5" s="6" t="s">
        <v>109</v>
      </c>
      <c r="N5" s="6" t="s">
        <v>110</v>
      </c>
    </row>
    <row r="6" spans="5:14" ht="16" x14ac:dyDescent="0.2">
      <c r="E6">
        <v>2</v>
      </c>
      <c r="F6" s="6" t="s">
        <v>111</v>
      </c>
      <c r="L6" s="6">
        <v>2</v>
      </c>
      <c r="M6" s="6" t="s">
        <v>111</v>
      </c>
      <c r="N6" s="6" t="s">
        <v>108</v>
      </c>
    </row>
    <row r="7" spans="5:14" ht="16" x14ac:dyDescent="0.2">
      <c r="E7">
        <v>3</v>
      </c>
      <c r="F7" s="6" t="s">
        <v>112</v>
      </c>
      <c r="L7" s="6">
        <v>3</v>
      </c>
      <c r="M7" s="6" t="s">
        <v>112</v>
      </c>
      <c r="N7" s="6" t="s">
        <v>110</v>
      </c>
    </row>
    <row r="8" spans="5:14" ht="16" x14ac:dyDescent="0.2">
      <c r="E8">
        <v>4</v>
      </c>
      <c r="F8" s="6" t="s">
        <v>113</v>
      </c>
      <c r="L8" s="6">
        <v>4</v>
      </c>
      <c r="M8" s="6" t="s">
        <v>113</v>
      </c>
      <c r="N8" s="6" t="s">
        <v>108</v>
      </c>
    </row>
    <row r="9" spans="5:14" ht="16" x14ac:dyDescent="0.2">
      <c r="E9">
        <v>5</v>
      </c>
      <c r="F9" s="6" t="s">
        <v>114</v>
      </c>
      <c r="L9" s="6">
        <v>5</v>
      </c>
      <c r="M9" s="6" t="s">
        <v>114</v>
      </c>
      <c r="N9" s="6" t="s">
        <v>108</v>
      </c>
    </row>
    <row r="10" spans="5:14" ht="16" x14ac:dyDescent="0.2">
      <c r="E10">
        <v>6</v>
      </c>
      <c r="F10" s="6" t="s">
        <v>115</v>
      </c>
      <c r="L10" s="6">
        <v>6</v>
      </c>
      <c r="M10" s="6" t="s">
        <v>115</v>
      </c>
      <c r="N10" s="6" t="s">
        <v>110</v>
      </c>
    </row>
    <row r="11" spans="5:14" ht="16" x14ac:dyDescent="0.2">
      <c r="E11">
        <v>7</v>
      </c>
      <c r="F11" s="6" t="s">
        <v>116</v>
      </c>
      <c r="L11" s="6">
        <v>7</v>
      </c>
      <c r="M11" s="6" t="s">
        <v>116</v>
      </c>
      <c r="N11" s="6" t="s">
        <v>110</v>
      </c>
    </row>
    <row r="12" spans="5:14" ht="16" x14ac:dyDescent="0.2">
      <c r="E12">
        <v>8</v>
      </c>
      <c r="F12" s="6" t="s">
        <v>117</v>
      </c>
      <c r="L12" s="6">
        <v>8</v>
      </c>
      <c r="M12" s="6" t="s">
        <v>117</v>
      </c>
      <c r="N12" s="6" t="s">
        <v>110</v>
      </c>
    </row>
    <row r="13" spans="5:14" ht="16" x14ac:dyDescent="0.2">
      <c r="E13">
        <v>9</v>
      </c>
      <c r="F13" s="6" t="s">
        <v>118</v>
      </c>
      <c r="L13" s="6">
        <v>9</v>
      </c>
      <c r="M13" s="6" t="s">
        <v>118</v>
      </c>
      <c r="N13" s="6" t="s">
        <v>110</v>
      </c>
    </row>
    <row r="14" spans="5:14" ht="16" x14ac:dyDescent="0.2">
      <c r="E14">
        <v>10</v>
      </c>
      <c r="F14" s="6" t="s">
        <v>119</v>
      </c>
      <c r="L14" s="6">
        <v>10</v>
      </c>
      <c r="M14" s="6" t="s">
        <v>119</v>
      </c>
      <c r="N14" s="6" t="s">
        <v>110</v>
      </c>
    </row>
    <row r="15" spans="5:14" ht="16" x14ac:dyDescent="0.2">
      <c r="E15">
        <v>11</v>
      </c>
      <c r="F15" s="6" t="s">
        <v>120</v>
      </c>
      <c r="L15" s="6">
        <v>11</v>
      </c>
      <c r="M15" s="6" t="s">
        <v>120</v>
      </c>
      <c r="N15" s="6" t="s">
        <v>110</v>
      </c>
    </row>
    <row r="16" spans="5:14" ht="16" x14ac:dyDescent="0.2">
      <c r="E16">
        <v>12</v>
      </c>
      <c r="F16" s="6" t="s">
        <v>121</v>
      </c>
      <c r="L16" s="6">
        <v>12</v>
      </c>
      <c r="M16" s="6" t="s">
        <v>121</v>
      </c>
      <c r="N16" s="6" t="s">
        <v>110</v>
      </c>
    </row>
    <row r="17" spans="5:14" ht="16" x14ac:dyDescent="0.2">
      <c r="E17">
        <v>13</v>
      </c>
      <c r="F17" s="6" t="s">
        <v>122</v>
      </c>
      <c r="L17" s="6">
        <v>13</v>
      </c>
      <c r="M17" s="6" t="s">
        <v>122</v>
      </c>
      <c r="N17" s="6" t="s">
        <v>110</v>
      </c>
    </row>
    <row r="18" spans="5:14" ht="16" x14ac:dyDescent="0.2">
      <c r="E18">
        <v>14</v>
      </c>
      <c r="F18" s="6" t="s">
        <v>123</v>
      </c>
      <c r="L18" s="6">
        <v>14</v>
      </c>
      <c r="M18" s="6" t="s">
        <v>123</v>
      </c>
      <c r="N18" s="6" t="s">
        <v>108</v>
      </c>
    </row>
    <row r="19" spans="5:14" ht="16" x14ac:dyDescent="0.2">
      <c r="E19">
        <v>15</v>
      </c>
      <c r="F19" s="6" t="s">
        <v>124</v>
      </c>
      <c r="L19" s="6">
        <v>15</v>
      </c>
      <c r="M19" s="6" t="s">
        <v>124</v>
      </c>
      <c r="N19" s="6" t="s">
        <v>108</v>
      </c>
    </row>
    <row r="20" spans="5:14" ht="16" x14ac:dyDescent="0.2">
      <c r="E20">
        <v>16</v>
      </c>
      <c r="F20" s="6" t="s">
        <v>125</v>
      </c>
      <c r="L20" s="6">
        <v>16</v>
      </c>
      <c r="M20" s="6" t="s">
        <v>125</v>
      </c>
      <c r="N20" s="6" t="s">
        <v>110</v>
      </c>
    </row>
    <row r="21" spans="5:14" ht="16" x14ac:dyDescent="0.2">
      <c r="E21">
        <v>17</v>
      </c>
      <c r="F21" s="6" t="s">
        <v>126</v>
      </c>
      <c r="L21" s="6">
        <v>17</v>
      </c>
      <c r="M21" s="6" t="s">
        <v>126</v>
      </c>
      <c r="N21" s="6" t="s">
        <v>108</v>
      </c>
    </row>
    <row r="22" spans="5:14" ht="16" x14ac:dyDescent="0.2">
      <c r="E22">
        <v>18</v>
      </c>
      <c r="F22" s="6" t="s">
        <v>127</v>
      </c>
      <c r="L22" s="6">
        <v>18</v>
      </c>
      <c r="M22" s="6" t="s">
        <v>127</v>
      </c>
      <c r="N22" s="6" t="s">
        <v>110</v>
      </c>
    </row>
    <row r="23" spans="5:14" ht="16" x14ac:dyDescent="0.2">
      <c r="E23">
        <v>19</v>
      </c>
      <c r="F23" s="6" t="s">
        <v>128</v>
      </c>
      <c r="L23" s="6">
        <v>19</v>
      </c>
      <c r="M23" s="6" t="s">
        <v>128</v>
      </c>
      <c r="N23" s="6" t="s">
        <v>108</v>
      </c>
    </row>
    <row r="24" spans="5:14" ht="16" x14ac:dyDescent="0.2">
      <c r="E24">
        <v>20</v>
      </c>
      <c r="F24" s="6" t="s">
        <v>129</v>
      </c>
      <c r="L24" s="6">
        <v>20</v>
      </c>
      <c r="M24" s="6" t="s">
        <v>129</v>
      </c>
      <c r="N24" s="6" t="s">
        <v>108</v>
      </c>
    </row>
    <row r="25" spans="5:14" ht="16" x14ac:dyDescent="0.2">
      <c r="E25">
        <v>21</v>
      </c>
      <c r="F25" s="6" t="s">
        <v>130</v>
      </c>
      <c r="L25" s="6">
        <v>21</v>
      </c>
      <c r="M25" s="6" t="s">
        <v>130</v>
      </c>
      <c r="N25" s="6" t="s">
        <v>108</v>
      </c>
    </row>
    <row r="26" spans="5:14" ht="16" x14ac:dyDescent="0.2">
      <c r="E26">
        <v>22</v>
      </c>
      <c r="F26" s="6" t="s">
        <v>131</v>
      </c>
      <c r="L26" s="6">
        <v>22</v>
      </c>
      <c r="M26" s="6" t="s">
        <v>131</v>
      </c>
      <c r="N26" s="6" t="s">
        <v>110</v>
      </c>
    </row>
    <row r="27" spans="5:14" ht="16" x14ac:dyDescent="0.2">
      <c r="E27">
        <v>23</v>
      </c>
      <c r="F27" s="6" t="s">
        <v>132</v>
      </c>
      <c r="L27" s="6">
        <v>23</v>
      </c>
      <c r="M27" s="6" t="s">
        <v>132</v>
      </c>
      <c r="N27" s="6" t="s">
        <v>108</v>
      </c>
    </row>
    <row r="28" spans="5:14" ht="16" x14ac:dyDescent="0.2">
      <c r="E28">
        <v>24</v>
      </c>
      <c r="F28" s="6" t="s">
        <v>133</v>
      </c>
      <c r="L28" s="6">
        <v>24</v>
      </c>
      <c r="M28" s="6" t="s">
        <v>133</v>
      </c>
      <c r="N28" s="6" t="s">
        <v>110</v>
      </c>
    </row>
    <row r="29" spans="5:14" ht="16" x14ac:dyDescent="0.2">
      <c r="E29">
        <v>25</v>
      </c>
      <c r="F29" s="6" t="s">
        <v>134</v>
      </c>
      <c r="L29" s="6">
        <v>25</v>
      </c>
      <c r="M29" s="6" t="s">
        <v>134</v>
      </c>
      <c r="N29" s="6" t="s">
        <v>110</v>
      </c>
    </row>
    <row r="30" spans="5:14" ht="16" x14ac:dyDescent="0.2">
      <c r="E30">
        <v>26</v>
      </c>
      <c r="F30" s="6" t="s">
        <v>135</v>
      </c>
      <c r="L30" s="6">
        <v>26</v>
      </c>
      <c r="M30" s="6" t="s">
        <v>135</v>
      </c>
      <c r="N30" s="6" t="s">
        <v>110</v>
      </c>
    </row>
    <row r="31" spans="5:14" ht="16" x14ac:dyDescent="0.2">
      <c r="E31">
        <v>27</v>
      </c>
      <c r="F31" s="6" t="s">
        <v>136</v>
      </c>
      <c r="L31" s="6">
        <v>27</v>
      </c>
      <c r="M31" s="6" t="s">
        <v>136</v>
      </c>
      <c r="N31" s="6" t="s">
        <v>108</v>
      </c>
    </row>
    <row r="32" spans="5:14" ht="16" x14ac:dyDescent="0.2">
      <c r="E32">
        <v>28</v>
      </c>
      <c r="F32" s="6" t="s">
        <v>137</v>
      </c>
      <c r="L32" s="6">
        <v>28</v>
      </c>
      <c r="M32" s="6" t="s">
        <v>137</v>
      </c>
      <c r="N32" s="6" t="s">
        <v>108</v>
      </c>
    </row>
    <row r="33" spans="1:62" ht="16" x14ac:dyDescent="0.2">
      <c r="E33">
        <v>29</v>
      </c>
      <c r="F33" s="6" t="s">
        <v>138</v>
      </c>
      <c r="L33" s="6">
        <v>29</v>
      </c>
      <c r="M33" s="6" t="s">
        <v>138</v>
      </c>
      <c r="N33" s="6" t="s">
        <v>108</v>
      </c>
    </row>
    <row r="34" spans="1:62" ht="16" x14ac:dyDescent="0.2">
      <c r="E34">
        <v>30</v>
      </c>
      <c r="F34" s="6" t="s">
        <v>139</v>
      </c>
      <c r="L34" s="6">
        <v>30</v>
      </c>
      <c r="M34" s="6" t="s">
        <v>139</v>
      </c>
      <c r="N34" s="6" t="s">
        <v>108</v>
      </c>
    </row>
    <row r="35" spans="1:62" ht="16" x14ac:dyDescent="0.2">
      <c r="E35">
        <v>31</v>
      </c>
      <c r="F35" s="6" t="s">
        <v>140</v>
      </c>
      <c r="L35" s="6">
        <v>31</v>
      </c>
      <c r="M35" s="6" t="s">
        <v>140</v>
      </c>
      <c r="N35" s="6" t="s">
        <v>108</v>
      </c>
    </row>
    <row r="38" spans="1:62" x14ac:dyDescent="0.2"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  <c r="N38" s="3" t="s">
        <v>12</v>
      </c>
      <c r="O38" s="3" t="s">
        <v>13</v>
      </c>
      <c r="P38" s="3" t="s">
        <v>14</v>
      </c>
      <c r="Q38" s="3" t="s">
        <v>15</v>
      </c>
      <c r="R38" s="3" t="s">
        <v>16</v>
      </c>
      <c r="S38" s="3" t="s">
        <v>17</v>
      </c>
      <c r="T38" s="3" t="s">
        <v>18</v>
      </c>
      <c r="U38" s="3" t="s">
        <v>19</v>
      </c>
      <c r="V38" s="3" t="s">
        <v>20</v>
      </c>
      <c r="W38" s="3" t="s">
        <v>21</v>
      </c>
      <c r="X38" s="3" t="s">
        <v>22</v>
      </c>
      <c r="Y38" s="3" t="s">
        <v>23</v>
      </c>
      <c r="Z38" s="3" t="s">
        <v>24</v>
      </c>
      <c r="AA38" s="3" t="s">
        <v>25</v>
      </c>
      <c r="AB38" s="3" t="s">
        <v>26</v>
      </c>
      <c r="AC38" s="3" t="s">
        <v>27</v>
      </c>
      <c r="AD38" s="3" t="s">
        <v>28</v>
      </c>
      <c r="AE38" s="3" t="s">
        <v>29</v>
      </c>
      <c r="AF38" s="3" t="s">
        <v>30</v>
      </c>
      <c r="AG38" s="3" t="s">
        <v>31</v>
      </c>
      <c r="AH38" s="3" t="s">
        <v>32</v>
      </c>
      <c r="AI38" s="3" t="s">
        <v>33</v>
      </c>
      <c r="AJ38" s="3" t="s">
        <v>34</v>
      </c>
      <c r="AK38" s="3" t="s">
        <v>35</v>
      </c>
      <c r="AL38" s="3" t="s">
        <v>36</v>
      </c>
      <c r="AM38" s="3" t="s">
        <v>37</v>
      </c>
      <c r="AN38" s="3" t="s">
        <v>38</v>
      </c>
      <c r="AO38" s="3" t="s">
        <v>39</v>
      </c>
      <c r="AP38" s="3" t="s">
        <v>40</v>
      </c>
      <c r="AQ38" s="3" t="s">
        <v>41</v>
      </c>
      <c r="AR38" s="3" t="s">
        <v>42</v>
      </c>
      <c r="AS38" s="3" t="s">
        <v>43</v>
      </c>
      <c r="AT38" s="3" t="s">
        <v>44</v>
      </c>
      <c r="AU38" s="3" t="s">
        <v>45</v>
      </c>
      <c r="AV38" s="3" t="s">
        <v>46</v>
      </c>
      <c r="AW38" s="3" t="s">
        <v>47</v>
      </c>
      <c r="AX38" s="3" t="s">
        <v>48</v>
      </c>
      <c r="AY38" s="3" t="s">
        <v>49</v>
      </c>
      <c r="AZ38" s="3" t="s">
        <v>50</v>
      </c>
      <c r="BA38" s="3" t="s">
        <v>51</v>
      </c>
      <c r="BB38" s="3" t="s">
        <v>52</v>
      </c>
      <c r="BC38" s="3" t="s">
        <v>53</v>
      </c>
      <c r="BD38" s="3" t="s">
        <v>54</v>
      </c>
      <c r="BE38" s="3" t="s">
        <v>55</v>
      </c>
      <c r="BF38" s="3" t="s">
        <v>56</v>
      </c>
      <c r="BG38" s="3" t="s">
        <v>57</v>
      </c>
      <c r="BH38" s="3" t="s">
        <v>58</v>
      </c>
      <c r="BI38" s="3" t="s">
        <v>59</v>
      </c>
      <c r="BJ38" s="3" t="s">
        <v>60</v>
      </c>
    </row>
    <row r="39" spans="1:62" x14ac:dyDescent="0.2">
      <c r="A39" s="3" t="s">
        <v>61</v>
      </c>
      <c r="B39" s="3" t="s">
        <v>62</v>
      </c>
      <c r="C39" s="3" t="s">
        <v>63</v>
      </c>
      <c r="D39" s="4">
        <v>73555</v>
      </c>
      <c r="E39" s="4">
        <v>80538</v>
      </c>
      <c r="F39" s="4">
        <v>88782</v>
      </c>
      <c r="G39" s="4">
        <v>101289</v>
      </c>
      <c r="H39" s="4">
        <v>112399</v>
      </c>
      <c r="I39" s="4">
        <v>125050</v>
      </c>
      <c r="J39" s="4">
        <v>142103</v>
      </c>
      <c r="K39" s="4">
        <v>164960</v>
      </c>
      <c r="L39" s="4">
        <v>185735</v>
      </c>
      <c r="M39" s="4">
        <v>207776</v>
      </c>
      <c r="N39" s="4">
        <v>238402</v>
      </c>
      <c r="O39" s="4">
        <v>262798</v>
      </c>
      <c r="P39" s="4">
        <v>290289</v>
      </c>
      <c r="Q39" s="4">
        <v>319707</v>
      </c>
      <c r="R39" s="4">
        <v>344947</v>
      </c>
      <c r="S39" s="4">
        <v>378096</v>
      </c>
      <c r="T39" s="4">
        <v>434678</v>
      </c>
      <c r="U39" s="4">
        <v>476741</v>
      </c>
      <c r="V39" s="4">
        <v>526271</v>
      </c>
      <c r="W39" s="4">
        <v>568685</v>
      </c>
      <c r="X39" s="4">
        <v>602060</v>
      </c>
      <c r="Y39" s="4">
        <v>638643</v>
      </c>
      <c r="Z39" s="4">
        <v>666051</v>
      </c>
      <c r="AA39" s="4">
        <v>708784</v>
      </c>
      <c r="AB39" s="4">
        <v>742650</v>
      </c>
      <c r="AC39" s="4">
        <v>774148</v>
      </c>
      <c r="AD39" s="4">
        <v>803763</v>
      </c>
      <c r="AE39" s="4">
        <v>811131</v>
      </c>
      <c r="AF39" s="4">
        <v>861185</v>
      </c>
      <c r="AG39" s="4">
        <v>896752</v>
      </c>
      <c r="AH39" s="4">
        <v>935686</v>
      </c>
      <c r="AI39" s="4">
        <v>983183</v>
      </c>
      <c r="AJ39" s="4">
        <v>1009938</v>
      </c>
      <c r="AK39" s="4">
        <v>1058978</v>
      </c>
      <c r="AL39" s="4">
        <v>1142218</v>
      </c>
      <c r="AM39" s="4">
        <v>1181874</v>
      </c>
      <c r="AN39" s="4">
        <v>1212912</v>
      </c>
      <c r="AO39" s="4">
        <v>1238162</v>
      </c>
      <c r="AP39" s="4">
        <v>1294993</v>
      </c>
      <c r="AQ39" s="4">
        <v>1351792</v>
      </c>
      <c r="AR39" s="4">
        <v>1431977</v>
      </c>
      <c r="AS39" s="4">
        <v>1479816</v>
      </c>
      <c r="AT39" s="4">
        <v>1554407</v>
      </c>
      <c r="AU39" s="4">
        <v>1492610</v>
      </c>
      <c r="AV39" s="4">
        <v>1565161</v>
      </c>
      <c r="AW39" s="4">
        <v>1594903</v>
      </c>
      <c r="AX39" s="4">
        <v>1634282</v>
      </c>
      <c r="AY39" s="4">
        <v>1675417</v>
      </c>
      <c r="AZ39" s="4">
        <v>1717820</v>
      </c>
      <c r="BA39" s="4">
        <v>1761019</v>
      </c>
      <c r="BB39" s="4">
        <v>1822909</v>
      </c>
      <c r="BC39" s="4">
        <v>1903818</v>
      </c>
      <c r="BD39" s="4">
        <v>1945815</v>
      </c>
      <c r="BE39" s="4">
        <v>2005035</v>
      </c>
      <c r="BF39" s="4">
        <v>2021320</v>
      </c>
      <c r="BG39" s="4">
        <v>2224248</v>
      </c>
      <c r="BH39" s="4">
        <v>2494375</v>
      </c>
      <c r="BI39" s="4">
        <v>2469030</v>
      </c>
      <c r="BJ39" s="4">
        <v>2593770</v>
      </c>
    </row>
    <row r="40" spans="1:62" x14ac:dyDescent="0.2">
      <c r="C40" s="3" t="s">
        <v>64</v>
      </c>
      <c r="D40" s="4">
        <v>10707</v>
      </c>
      <c r="E40" s="4">
        <v>12513</v>
      </c>
      <c r="F40" s="4">
        <v>14537</v>
      </c>
      <c r="G40" s="4">
        <v>17072</v>
      </c>
      <c r="H40" s="4">
        <v>20404</v>
      </c>
      <c r="I40" s="4">
        <v>24175</v>
      </c>
      <c r="J40" s="4">
        <v>27656</v>
      </c>
      <c r="K40" s="4">
        <v>31573</v>
      </c>
      <c r="L40" s="4">
        <v>37981</v>
      </c>
      <c r="M40" s="4">
        <v>44546</v>
      </c>
      <c r="N40" s="4">
        <v>50981</v>
      </c>
      <c r="O40" s="4">
        <v>56874</v>
      </c>
      <c r="P40" s="4">
        <v>64191</v>
      </c>
      <c r="Q40" s="4">
        <v>72534</v>
      </c>
      <c r="R40" s="4">
        <v>82181</v>
      </c>
      <c r="S40" s="4">
        <v>93994</v>
      </c>
      <c r="T40" s="4">
        <v>109733</v>
      </c>
      <c r="U40" s="4">
        <v>118588</v>
      </c>
      <c r="V40" s="4">
        <v>123728</v>
      </c>
      <c r="W40" s="4">
        <v>130525</v>
      </c>
      <c r="X40" s="4">
        <v>134478</v>
      </c>
      <c r="Y40" s="4">
        <v>146718</v>
      </c>
      <c r="Z40" s="4">
        <v>157926</v>
      </c>
      <c r="AA40" s="4">
        <v>165331</v>
      </c>
      <c r="AB40" s="4">
        <v>169512</v>
      </c>
      <c r="AC40" s="4">
        <v>176807</v>
      </c>
      <c r="AD40" s="4">
        <v>183318</v>
      </c>
      <c r="AE40" s="4">
        <v>188631</v>
      </c>
      <c r="AF40" s="4">
        <v>194023</v>
      </c>
      <c r="AG40" s="4">
        <v>198064</v>
      </c>
      <c r="AH40" s="4">
        <v>207231</v>
      </c>
      <c r="AI40" s="4">
        <v>215834</v>
      </c>
      <c r="AJ40" s="4">
        <v>226416</v>
      </c>
      <c r="AK40" s="4">
        <v>237206</v>
      </c>
      <c r="AL40" s="4">
        <v>245434</v>
      </c>
      <c r="AM40" s="4">
        <v>257315</v>
      </c>
      <c r="AN40" s="4">
        <v>268488</v>
      </c>
      <c r="AO40" s="4">
        <v>276247</v>
      </c>
      <c r="AP40" s="4">
        <v>286449</v>
      </c>
      <c r="AQ40" s="4">
        <v>293639</v>
      </c>
      <c r="AR40" s="4">
        <v>305508</v>
      </c>
      <c r="AS40" s="4">
        <v>316661</v>
      </c>
      <c r="AT40" s="4">
        <v>333114</v>
      </c>
      <c r="AU40" s="4">
        <v>352240</v>
      </c>
      <c r="AV40" s="4">
        <v>365746</v>
      </c>
      <c r="AW40" s="4">
        <v>362095</v>
      </c>
      <c r="AX40" s="4">
        <v>366956</v>
      </c>
      <c r="AY40" s="4">
        <v>369505</v>
      </c>
      <c r="AZ40" s="4">
        <v>375331</v>
      </c>
      <c r="BA40" s="4">
        <v>380728</v>
      </c>
      <c r="BB40" s="4">
        <v>384248</v>
      </c>
      <c r="BC40" s="4">
        <v>390231</v>
      </c>
      <c r="BD40" s="4">
        <v>399565</v>
      </c>
      <c r="BE40" s="4">
        <v>408834</v>
      </c>
      <c r="BF40" s="4">
        <v>417306</v>
      </c>
      <c r="BG40" s="4">
        <v>436255</v>
      </c>
      <c r="BH40" s="4">
        <v>449242</v>
      </c>
      <c r="BI40" s="4">
        <v>462545</v>
      </c>
      <c r="BJ40" s="4">
        <v>485520</v>
      </c>
    </row>
    <row r="41" spans="1:62" ht="16" x14ac:dyDescent="0.2">
      <c r="B41" s="6" t="s">
        <v>108</v>
      </c>
      <c r="C41" s="3" t="s">
        <v>65</v>
      </c>
      <c r="D41" s="4">
        <v>5513</v>
      </c>
      <c r="E41" s="4">
        <v>5228</v>
      </c>
      <c r="F41" s="4">
        <v>5474</v>
      </c>
      <c r="G41" s="4">
        <v>6499</v>
      </c>
      <c r="H41" s="4">
        <v>5897</v>
      </c>
      <c r="I41" s="4">
        <v>6460</v>
      </c>
      <c r="J41" s="4">
        <v>7727</v>
      </c>
      <c r="K41" s="4">
        <v>9809</v>
      </c>
      <c r="L41" s="4">
        <v>10736</v>
      </c>
      <c r="M41" s="4">
        <v>10266</v>
      </c>
      <c r="N41" s="4">
        <v>11579</v>
      </c>
      <c r="O41" s="4">
        <v>13938</v>
      </c>
      <c r="P41" s="4">
        <v>15675</v>
      </c>
      <c r="Q41" s="4">
        <v>14709</v>
      </c>
      <c r="R41" s="4">
        <v>16333</v>
      </c>
      <c r="S41" s="4">
        <v>19084</v>
      </c>
      <c r="T41" s="4">
        <v>23420</v>
      </c>
      <c r="U41" s="4">
        <v>22357</v>
      </c>
      <c r="V41" s="4">
        <v>28485</v>
      </c>
      <c r="W41" s="4">
        <v>28015</v>
      </c>
      <c r="X41" s="4">
        <v>27631</v>
      </c>
      <c r="Y41" s="4">
        <v>25832</v>
      </c>
      <c r="Z41" s="4">
        <v>24595</v>
      </c>
      <c r="AA41" s="4">
        <v>28771</v>
      </c>
      <c r="AB41" s="4">
        <v>28063</v>
      </c>
      <c r="AC41" s="4">
        <v>26856</v>
      </c>
      <c r="AD41" s="4">
        <v>25580</v>
      </c>
      <c r="AE41" s="4">
        <v>24745</v>
      </c>
      <c r="AF41" s="4">
        <v>25615</v>
      </c>
      <c r="AG41" s="4">
        <v>29316</v>
      </c>
      <c r="AH41" s="4">
        <v>30069</v>
      </c>
      <c r="AI41" s="4">
        <v>29904</v>
      </c>
      <c r="AJ41" s="4">
        <v>25164</v>
      </c>
      <c r="AK41" s="4">
        <v>23832</v>
      </c>
      <c r="AL41" s="4">
        <v>28502</v>
      </c>
      <c r="AM41" s="4">
        <v>31697</v>
      </c>
      <c r="AN41" s="4">
        <v>24769</v>
      </c>
      <c r="AO41" s="4">
        <v>22835</v>
      </c>
      <c r="AP41" s="4">
        <v>24107</v>
      </c>
      <c r="AQ41" s="4">
        <v>17977</v>
      </c>
      <c r="AR41" s="4">
        <v>19326</v>
      </c>
      <c r="AS41" s="4">
        <v>20401</v>
      </c>
      <c r="AT41" s="4">
        <v>15232</v>
      </c>
      <c r="AU41" s="4">
        <v>13956</v>
      </c>
      <c r="AV41" s="4">
        <v>21545</v>
      </c>
      <c r="AW41" s="4">
        <v>23445</v>
      </c>
      <c r="AX41" s="4">
        <v>30620</v>
      </c>
      <c r="AY41" s="4">
        <v>24323</v>
      </c>
      <c r="AZ41" s="4">
        <v>26801</v>
      </c>
      <c r="BA41" s="4">
        <v>18441</v>
      </c>
      <c r="BB41" s="4">
        <v>19519</v>
      </c>
      <c r="BC41" s="4">
        <v>27586</v>
      </c>
      <c r="BD41" s="4">
        <v>22369</v>
      </c>
      <c r="BE41" s="4">
        <v>28593</v>
      </c>
      <c r="BF41" s="4">
        <v>31119</v>
      </c>
      <c r="BG41" s="4">
        <v>27602</v>
      </c>
      <c r="BH41" s="4">
        <v>28377</v>
      </c>
      <c r="BI41" s="4">
        <v>28935</v>
      </c>
      <c r="BJ41" s="4">
        <v>27153</v>
      </c>
    </row>
    <row r="42" spans="1:62" ht="16" x14ac:dyDescent="0.2">
      <c r="B42" s="6" t="s">
        <v>110</v>
      </c>
      <c r="C42" s="3" t="s">
        <v>66</v>
      </c>
      <c r="D42" s="4">
        <v>240</v>
      </c>
      <c r="E42" s="4">
        <v>243</v>
      </c>
      <c r="F42" s="4">
        <v>265</v>
      </c>
      <c r="G42" s="4">
        <v>281</v>
      </c>
      <c r="H42" s="4">
        <v>285</v>
      </c>
      <c r="I42" s="4">
        <v>278</v>
      </c>
      <c r="J42" s="4">
        <v>338</v>
      </c>
      <c r="K42" s="4">
        <v>386</v>
      </c>
      <c r="L42" s="4">
        <v>375</v>
      </c>
      <c r="M42" s="4">
        <v>436</v>
      </c>
      <c r="N42" s="4">
        <v>472</v>
      </c>
      <c r="O42" s="4">
        <v>729</v>
      </c>
      <c r="P42" s="4">
        <v>695</v>
      </c>
      <c r="Q42" s="4">
        <v>911</v>
      </c>
      <c r="R42" s="4">
        <v>767</v>
      </c>
      <c r="S42" s="4">
        <v>1760</v>
      </c>
      <c r="T42" s="4">
        <v>3871</v>
      </c>
      <c r="U42" s="4">
        <v>4305</v>
      </c>
      <c r="V42" s="4">
        <v>4934</v>
      </c>
      <c r="W42" s="4">
        <v>7194</v>
      </c>
      <c r="X42" s="4">
        <v>5992</v>
      </c>
      <c r="Y42" s="4">
        <v>6144</v>
      </c>
      <c r="Z42" s="4">
        <v>5153</v>
      </c>
      <c r="AA42" s="4">
        <v>6827</v>
      </c>
      <c r="AB42" s="4">
        <v>7697</v>
      </c>
      <c r="AC42" s="4">
        <v>7575</v>
      </c>
      <c r="AD42" s="4">
        <v>7909</v>
      </c>
      <c r="AE42" s="4">
        <v>7632</v>
      </c>
      <c r="AF42" s="4">
        <v>7666</v>
      </c>
      <c r="AG42" s="4">
        <v>7933</v>
      </c>
      <c r="AH42" s="4">
        <v>11630</v>
      </c>
      <c r="AI42" s="4">
        <v>13565</v>
      </c>
      <c r="AJ42" s="4">
        <v>10478</v>
      </c>
      <c r="AK42" s="4">
        <v>16071</v>
      </c>
      <c r="AL42" s="4">
        <v>34332</v>
      </c>
      <c r="AM42" s="4">
        <v>29791</v>
      </c>
      <c r="AN42" s="4">
        <v>29621</v>
      </c>
      <c r="AO42" s="4">
        <v>29278</v>
      </c>
      <c r="AP42" s="4">
        <v>37614</v>
      </c>
      <c r="AQ42" s="4">
        <v>52554</v>
      </c>
      <c r="AR42" s="4">
        <v>59115</v>
      </c>
      <c r="AS42" s="4">
        <v>58510</v>
      </c>
      <c r="AT42" s="4">
        <v>66357</v>
      </c>
      <c r="AU42" s="4">
        <v>41111</v>
      </c>
      <c r="AV42" s="4">
        <v>45928</v>
      </c>
      <c r="AW42" s="4">
        <v>52514</v>
      </c>
      <c r="AX42" s="4">
        <v>52750</v>
      </c>
      <c r="AY42" s="4">
        <v>43592</v>
      </c>
      <c r="AZ42" s="4">
        <v>35043</v>
      </c>
      <c r="BA42" s="4">
        <v>18603</v>
      </c>
      <c r="BB42" s="4">
        <v>16673</v>
      </c>
      <c r="BC42" s="4">
        <v>18381</v>
      </c>
      <c r="BD42" s="4">
        <v>21903</v>
      </c>
      <c r="BE42" s="4">
        <v>16744</v>
      </c>
      <c r="BF42" s="4">
        <v>7070</v>
      </c>
      <c r="BG42" s="4">
        <v>10652</v>
      </c>
      <c r="BH42" s="4">
        <v>22504</v>
      </c>
      <c r="BI42" s="4">
        <v>14629</v>
      </c>
      <c r="BJ42" s="4">
        <v>14751</v>
      </c>
    </row>
    <row r="43" spans="1:62" ht="16" x14ac:dyDescent="0.2">
      <c r="B43" s="6" t="s">
        <v>108</v>
      </c>
      <c r="C43" s="3" t="s">
        <v>67</v>
      </c>
      <c r="D43" s="4">
        <v>3602</v>
      </c>
      <c r="E43" s="4">
        <v>4108</v>
      </c>
      <c r="F43" s="4">
        <v>4350</v>
      </c>
      <c r="G43" s="4">
        <v>4578</v>
      </c>
      <c r="H43" s="4">
        <v>5005</v>
      </c>
      <c r="I43" s="4">
        <v>5748</v>
      </c>
      <c r="J43" s="4">
        <v>5892</v>
      </c>
      <c r="K43" s="4">
        <v>7218</v>
      </c>
      <c r="L43" s="4">
        <v>7926</v>
      </c>
      <c r="M43" s="4">
        <v>9106</v>
      </c>
      <c r="N43" s="4">
        <v>9262</v>
      </c>
      <c r="O43" s="4">
        <v>11204</v>
      </c>
      <c r="P43" s="4">
        <v>11895</v>
      </c>
      <c r="Q43" s="4">
        <v>13493</v>
      </c>
      <c r="R43" s="4">
        <v>15120</v>
      </c>
      <c r="S43" s="4">
        <v>16749</v>
      </c>
      <c r="T43" s="4">
        <v>18824</v>
      </c>
      <c r="U43" s="4">
        <v>20111</v>
      </c>
      <c r="V43" s="4">
        <v>21889</v>
      </c>
      <c r="W43" s="4">
        <v>23109</v>
      </c>
      <c r="X43" s="4">
        <v>23064</v>
      </c>
      <c r="Y43" s="4">
        <v>23039</v>
      </c>
      <c r="Z43" s="4">
        <v>22920</v>
      </c>
      <c r="AA43" s="4">
        <v>22946</v>
      </c>
      <c r="AB43" s="4">
        <v>24096</v>
      </c>
      <c r="AC43" s="4">
        <v>25023</v>
      </c>
      <c r="AD43" s="4">
        <v>26474</v>
      </c>
      <c r="AE43" s="4">
        <v>26629</v>
      </c>
      <c r="AF43" s="4">
        <v>26087</v>
      </c>
      <c r="AG43" s="4">
        <v>27431</v>
      </c>
      <c r="AH43" s="4">
        <v>27119</v>
      </c>
      <c r="AI43" s="4">
        <v>29416</v>
      </c>
      <c r="AJ43" s="4">
        <v>28340</v>
      </c>
      <c r="AK43" s="4">
        <v>29401</v>
      </c>
      <c r="AL43" s="4">
        <v>30501</v>
      </c>
      <c r="AM43" s="4">
        <v>32301</v>
      </c>
      <c r="AN43" s="4">
        <v>35078</v>
      </c>
      <c r="AO43" s="4">
        <v>33993</v>
      </c>
      <c r="AP43" s="4">
        <v>34410</v>
      </c>
      <c r="AQ43" s="4">
        <v>34240</v>
      </c>
      <c r="AR43" s="4">
        <v>31843</v>
      </c>
      <c r="AS43" s="4">
        <v>31299</v>
      </c>
      <c r="AT43" s="4">
        <v>30924</v>
      </c>
      <c r="AU43" s="4">
        <v>31106</v>
      </c>
      <c r="AV43" s="4">
        <v>29645</v>
      </c>
      <c r="AW43" s="4">
        <v>27928</v>
      </c>
      <c r="AX43" s="4">
        <v>26738</v>
      </c>
      <c r="AY43" s="4">
        <v>27940</v>
      </c>
      <c r="AZ43" s="4">
        <v>28252</v>
      </c>
      <c r="BA43" s="4">
        <v>30069</v>
      </c>
      <c r="BB43" s="4">
        <v>31733</v>
      </c>
      <c r="BC43" s="4">
        <v>29236</v>
      </c>
      <c r="BD43" s="4">
        <v>29880</v>
      </c>
      <c r="BE43" s="4">
        <v>31863</v>
      </c>
      <c r="BF43" s="4">
        <v>31178</v>
      </c>
      <c r="BG43" s="4">
        <v>30621</v>
      </c>
      <c r="BH43" s="4">
        <v>32635</v>
      </c>
      <c r="BI43" s="4">
        <v>40865</v>
      </c>
      <c r="BJ43" s="4">
        <v>40893</v>
      </c>
    </row>
    <row r="44" spans="1:62" ht="16" x14ac:dyDescent="0.2">
      <c r="B44" s="6" t="s">
        <v>110</v>
      </c>
      <c r="C44" s="3" t="s">
        <v>68</v>
      </c>
      <c r="D44" s="4">
        <v>1516</v>
      </c>
      <c r="E44" s="4">
        <v>1580</v>
      </c>
      <c r="F44" s="4">
        <v>1651</v>
      </c>
      <c r="G44" s="4">
        <v>1889</v>
      </c>
      <c r="H44" s="4">
        <v>1925</v>
      </c>
      <c r="I44" s="4">
        <v>1938</v>
      </c>
      <c r="J44" s="4">
        <v>2177</v>
      </c>
      <c r="K44" s="4">
        <v>2377</v>
      </c>
      <c r="L44" s="4">
        <v>2456</v>
      </c>
      <c r="M44" s="4">
        <v>2779</v>
      </c>
      <c r="N44" s="4">
        <v>3238</v>
      </c>
      <c r="O44" s="4">
        <v>3240</v>
      </c>
      <c r="P44" s="4">
        <v>3207</v>
      </c>
      <c r="Q44" s="4">
        <v>3611</v>
      </c>
      <c r="R44" s="4">
        <v>3903</v>
      </c>
      <c r="S44" s="4">
        <v>4221</v>
      </c>
      <c r="T44" s="4">
        <v>4794</v>
      </c>
      <c r="U44" s="4">
        <v>5180</v>
      </c>
      <c r="V44" s="4">
        <v>5673</v>
      </c>
      <c r="W44" s="4">
        <v>6117</v>
      </c>
      <c r="X44" s="4">
        <v>6316</v>
      </c>
      <c r="Y44" s="4">
        <v>6243</v>
      </c>
      <c r="Z44" s="4">
        <v>6163</v>
      </c>
      <c r="AA44" s="4">
        <v>5862</v>
      </c>
      <c r="AB44" s="4">
        <v>5916</v>
      </c>
      <c r="AC44" s="4">
        <v>6120</v>
      </c>
      <c r="AD44" s="4">
        <v>6281</v>
      </c>
      <c r="AE44" s="4">
        <v>5642</v>
      </c>
      <c r="AF44" s="4">
        <v>5524</v>
      </c>
      <c r="AG44" s="4">
        <v>5411</v>
      </c>
      <c r="AH44" s="4">
        <v>5192</v>
      </c>
      <c r="AI44" s="4">
        <v>5056</v>
      </c>
      <c r="AJ44" s="4">
        <v>5121</v>
      </c>
      <c r="AK44" s="4">
        <v>5209</v>
      </c>
      <c r="AL44" s="4">
        <v>5106</v>
      </c>
      <c r="AM44" s="4">
        <v>4594</v>
      </c>
      <c r="AN44" s="4">
        <v>4363</v>
      </c>
      <c r="AO44" s="4">
        <v>4099</v>
      </c>
      <c r="AP44" s="4">
        <v>3819</v>
      </c>
      <c r="AQ44" s="4">
        <v>3245</v>
      </c>
      <c r="AR44" s="4">
        <v>3446</v>
      </c>
      <c r="AS44" s="4">
        <v>3335</v>
      </c>
      <c r="AT44" s="4">
        <v>3182</v>
      </c>
      <c r="AU44" s="4">
        <v>2650</v>
      </c>
      <c r="AV44" s="4">
        <v>2434</v>
      </c>
      <c r="AW44" s="4">
        <v>2508</v>
      </c>
      <c r="AX44" s="4">
        <v>2268</v>
      </c>
      <c r="AY44" s="4">
        <v>2693</v>
      </c>
      <c r="AZ44" s="4">
        <v>2790</v>
      </c>
      <c r="BA44" s="4">
        <v>2980</v>
      </c>
      <c r="BB44" s="4">
        <v>2886</v>
      </c>
      <c r="BC44" s="4">
        <v>3100</v>
      </c>
      <c r="BD44" s="4">
        <v>3594</v>
      </c>
      <c r="BE44" s="4">
        <v>3517</v>
      </c>
      <c r="BF44" s="4">
        <v>3357</v>
      </c>
      <c r="BG44" s="4">
        <v>3412</v>
      </c>
      <c r="BH44" s="4">
        <v>3467</v>
      </c>
      <c r="BI44" s="4">
        <v>3396</v>
      </c>
      <c r="BJ44" s="4">
        <v>3478</v>
      </c>
    </row>
    <row r="45" spans="1:62" ht="16" x14ac:dyDescent="0.2">
      <c r="B45" s="6" t="s">
        <v>108</v>
      </c>
      <c r="C45" s="3" t="s">
        <v>69</v>
      </c>
      <c r="D45" s="4">
        <v>1364</v>
      </c>
      <c r="E45" s="4">
        <v>1444</v>
      </c>
      <c r="F45" s="4">
        <v>1612</v>
      </c>
      <c r="G45" s="4">
        <v>1843</v>
      </c>
      <c r="H45" s="4">
        <v>2098</v>
      </c>
      <c r="I45" s="4">
        <v>2215</v>
      </c>
      <c r="J45" s="4">
        <v>2427</v>
      </c>
      <c r="K45" s="4">
        <v>2799</v>
      </c>
      <c r="L45" s="4">
        <v>3217</v>
      </c>
      <c r="M45" s="4">
        <v>3329</v>
      </c>
      <c r="N45" s="4">
        <v>3899</v>
      </c>
      <c r="O45" s="4">
        <v>4227</v>
      </c>
      <c r="P45" s="4">
        <v>4617</v>
      </c>
      <c r="Q45" s="4">
        <v>5229</v>
      </c>
      <c r="R45" s="4">
        <v>5655</v>
      </c>
      <c r="S45" s="4">
        <v>6174</v>
      </c>
      <c r="T45" s="4">
        <v>6606</v>
      </c>
      <c r="U45" s="4">
        <v>7401</v>
      </c>
      <c r="V45" s="4">
        <v>8880</v>
      </c>
      <c r="W45" s="4">
        <v>9254</v>
      </c>
      <c r="X45" s="4">
        <v>10630</v>
      </c>
      <c r="Y45" s="4">
        <v>11171</v>
      </c>
      <c r="Z45" s="4">
        <v>10870</v>
      </c>
      <c r="AA45" s="4">
        <v>11905</v>
      </c>
      <c r="AB45" s="4">
        <v>11480</v>
      </c>
      <c r="AC45" s="4">
        <v>12254</v>
      </c>
      <c r="AD45" s="4">
        <v>12496</v>
      </c>
      <c r="AE45" s="4">
        <v>12421</v>
      </c>
      <c r="AF45" s="4">
        <v>13380</v>
      </c>
      <c r="AG45" s="4">
        <v>13669</v>
      </c>
      <c r="AH45" s="4">
        <v>14091</v>
      </c>
      <c r="AI45" s="4">
        <v>15648</v>
      </c>
      <c r="AJ45" s="4">
        <v>16318</v>
      </c>
      <c r="AK45" s="4">
        <v>16028</v>
      </c>
      <c r="AL45" s="4">
        <v>16392</v>
      </c>
      <c r="AM45" s="4">
        <v>15480</v>
      </c>
      <c r="AN45" s="4">
        <v>15185</v>
      </c>
      <c r="AO45" s="4">
        <v>15131</v>
      </c>
      <c r="AP45" s="4">
        <v>14953</v>
      </c>
      <c r="AQ45" s="4">
        <v>14421</v>
      </c>
      <c r="AR45" s="4">
        <v>14567</v>
      </c>
      <c r="AS45" s="4">
        <v>14442</v>
      </c>
      <c r="AT45" s="4">
        <v>14200</v>
      </c>
      <c r="AU45" s="4">
        <v>11538</v>
      </c>
      <c r="AV45" s="4">
        <v>10755</v>
      </c>
      <c r="AW45" s="4">
        <v>10945</v>
      </c>
      <c r="AX45" s="4">
        <v>10229</v>
      </c>
      <c r="AY45" s="4">
        <v>9906</v>
      </c>
      <c r="AZ45" s="4">
        <v>10664</v>
      </c>
      <c r="BA45" s="4">
        <v>10362</v>
      </c>
      <c r="BB45" s="4">
        <v>9813</v>
      </c>
      <c r="BC45" s="4">
        <v>10604</v>
      </c>
      <c r="BD45" s="4">
        <v>10106</v>
      </c>
      <c r="BE45" s="4">
        <v>10646</v>
      </c>
      <c r="BF45" s="4">
        <v>10852</v>
      </c>
      <c r="BG45" s="4">
        <v>10435</v>
      </c>
      <c r="BH45" s="4">
        <v>11208</v>
      </c>
      <c r="BI45" s="4">
        <v>11369</v>
      </c>
      <c r="BJ45" s="4">
        <v>11125</v>
      </c>
    </row>
    <row r="46" spans="1:62" ht="16" x14ac:dyDescent="0.2">
      <c r="B46" s="6" t="s">
        <v>108</v>
      </c>
      <c r="C46" s="3" t="s">
        <v>70</v>
      </c>
      <c r="D46" s="4">
        <v>55</v>
      </c>
      <c r="E46" s="4">
        <v>135</v>
      </c>
      <c r="F46" s="4">
        <v>125</v>
      </c>
      <c r="G46" s="4">
        <v>190</v>
      </c>
      <c r="H46" s="4">
        <v>142</v>
      </c>
      <c r="I46" s="4">
        <v>225</v>
      </c>
      <c r="J46" s="4">
        <v>235</v>
      </c>
      <c r="K46" s="4">
        <v>164</v>
      </c>
      <c r="L46" s="4">
        <v>403</v>
      </c>
      <c r="M46" s="4">
        <v>354</v>
      </c>
      <c r="N46" s="4">
        <v>280</v>
      </c>
      <c r="O46" s="4">
        <v>351</v>
      </c>
      <c r="P46" s="4">
        <v>463</v>
      </c>
      <c r="Q46" s="4">
        <v>811</v>
      </c>
      <c r="R46" s="4">
        <v>100</v>
      </c>
      <c r="S46" s="4">
        <v>667</v>
      </c>
      <c r="T46" s="4">
        <v>197</v>
      </c>
      <c r="U46" s="4">
        <v>281</v>
      </c>
      <c r="V46" s="4">
        <v>490</v>
      </c>
      <c r="W46" s="4">
        <v>555</v>
      </c>
      <c r="X46" s="4">
        <v>803</v>
      </c>
      <c r="Y46" s="4">
        <v>479</v>
      </c>
      <c r="Z46" s="4">
        <v>515</v>
      </c>
      <c r="AA46" s="4">
        <v>1262</v>
      </c>
      <c r="AB46" s="4">
        <v>1254</v>
      </c>
      <c r="AC46" s="4">
        <v>467</v>
      </c>
      <c r="AD46" s="4">
        <v>575</v>
      </c>
      <c r="AE46" s="4">
        <v>301</v>
      </c>
      <c r="AF46" s="4">
        <v>200</v>
      </c>
      <c r="AG46" s="4">
        <v>1116</v>
      </c>
      <c r="AH46" s="4">
        <v>686</v>
      </c>
      <c r="AI46" s="4">
        <v>1005</v>
      </c>
      <c r="AJ46" s="4">
        <v>1149</v>
      </c>
      <c r="AK46" s="4">
        <v>987</v>
      </c>
      <c r="AL46" s="4">
        <v>423</v>
      </c>
      <c r="AM46" s="4">
        <v>735</v>
      </c>
      <c r="AN46" s="4">
        <v>1059</v>
      </c>
      <c r="AO46" s="4">
        <v>398</v>
      </c>
      <c r="AP46" s="4">
        <v>1117</v>
      </c>
      <c r="AQ46" s="4">
        <v>585</v>
      </c>
      <c r="AR46" s="4">
        <v>1463</v>
      </c>
      <c r="AS46" s="4">
        <v>1256</v>
      </c>
      <c r="AT46" s="4">
        <v>2484</v>
      </c>
      <c r="AU46" s="4">
        <v>1369</v>
      </c>
      <c r="AV46" s="4">
        <v>-1353</v>
      </c>
      <c r="AW46" s="4">
        <v>-2937</v>
      </c>
      <c r="AX46" s="4">
        <v>-4560</v>
      </c>
      <c r="AY46" s="4">
        <v>309</v>
      </c>
      <c r="AZ46" s="4">
        <v>-834</v>
      </c>
      <c r="BA46" s="4">
        <v>4417</v>
      </c>
      <c r="BB46" s="4">
        <v>2583</v>
      </c>
      <c r="BC46" s="4">
        <v>2515</v>
      </c>
      <c r="BD46" s="4">
        <v>553</v>
      </c>
      <c r="BE46" s="4">
        <v>1209</v>
      </c>
      <c r="BF46" s="4">
        <v>690</v>
      </c>
      <c r="BG46" s="4">
        <v>907</v>
      </c>
      <c r="BH46" s="4">
        <v>5638</v>
      </c>
      <c r="BI46" s="4">
        <v>6737</v>
      </c>
      <c r="BJ46" s="4">
        <v>3849</v>
      </c>
    </row>
    <row r="47" spans="1:62" ht="16" x14ac:dyDescent="0.2">
      <c r="B47" s="6" t="s">
        <v>110</v>
      </c>
      <c r="C47" s="3" t="s">
        <v>71</v>
      </c>
      <c r="D47" s="4">
        <v>679</v>
      </c>
      <c r="E47" s="4">
        <v>884</v>
      </c>
      <c r="F47" s="4">
        <v>1125</v>
      </c>
      <c r="G47" s="4">
        <v>1298</v>
      </c>
      <c r="H47" s="4">
        <v>1190</v>
      </c>
      <c r="I47" s="4">
        <v>1191</v>
      </c>
      <c r="J47" s="4">
        <v>1179</v>
      </c>
      <c r="K47" s="4">
        <v>1446</v>
      </c>
      <c r="L47" s="4">
        <v>1592</v>
      </c>
      <c r="M47" s="4">
        <v>1884</v>
      </c>
      <c r="N47" s="4">
        <v>2131</v>
      </c>
      <c r="O47" s="4">
        <v>2159</v>
      </c>
      <c r="P47" s="4">
        <v>2387</v>
      </c>
      <c r="Q47" s="4">
        <v>2700</v>
      </c>
      <c r="R47" s="4">
        <v>3053</v>
      </c>
      <c r="S47" s="4">
        <v>3518</v>
      </c>
      <c r="T47" s="4">
        <v>4031</v>
      </c>
      <c r="U47" s="4">
        <v>4711</v>
      </c>
      <c r="V47" s="4">
        <v>5255</v>
      </c>
      <c r="W47" s="4">
        <v>5618</v>
      </c>
      <c r="X47" s="4">
        <v>5551</v>
      </c>
      <c r="Y47" s="4">
        <v>5872</v>
      </c>
      <c r="Z47" s="4">
        <v>6330</v>
      </c>
      <c r="AA47" s="4">
        <v>6685</v>
      </c>
      <c r="AB47" s="4">
        <v>6848</v>
      </c>
      <c r="AC47" s="4">
        <v>6953</v>
      </c>
      <c r="AD47" s="4">
        <v>7435</v>
      </c>
      <c r="AE47" s="4">
        <v>6920</v>
      </c>
      <c r="AF47" s="4">
        <v>7623</v>
      </c>
      <c r="AG47" s="4">
        <v>8612</v>
      </c>
      <c r="AH47" s="4">
        <v>9288</v>
      </c>
      <c r="AI47" s="4">
        <v>9782</v>
      </c>
      <c r="AJ47" s="4">
        <v>9399</v>
      </c>
      <c r="AK47" s="4">
        <v>9368</v>
      </c>
      <c r="AL47" s="4">
        <v>9238</v>
      </c>
      <c r="AM47" s="4">
        <v>9399</v>
      </c>
      <c r="AN47" s="4">
        <v>8719</v>
      </c>
      <c r="AO47" s="4">
        <v>9119</v>
      </c>
      <c r="AP47" s="4">
        <v>9074</v>
      </c>
      <c r="AQ47" s="4">
        <v>9519</v>
      </c>
      <c r="AR47" s="4">
        <v>9362</v>
      </c>
      <c r="AS47" s="4">
        <v>9048</v>
      </c>
      <c r="AT47" s="4">
        <v>10315</v>
      </c>
      <c r="AU47" s="4">
        <v>11095</v>
      </c>
      <c r="AV47" s="4">
        <v>12087</v>
      </c>
      <c r="AW47" s="4">
        <v>11732</v>
      </c>
      <c r="AX47" s="4">
        <v>14492</v>
      </c>
      <c r="AY47" s="4">
        <v>14076</v>
      </c>
      <c r="AZ47" s="4">
        <v>15723</v>
      </c>
      <c r="BA47" s="4">
        <v>18022</v>
      </c>
      <c r="BB47" s="4">
        <v>18967</v>
      </c>
      <c r="BC47" s="4">
        <v>19732</v>
      </c>
      <c r="BD47" s="4">
        <v>19379</v>
      </c>
      <c r="BE47" s="4">
        <v>21244</v>
      </c>
      <c r="BF47" s="4">
        <v>22305</v>
      </c>
      <c r="BG47" s="4">
        <v>24315</v>
      </c>
      <c r="BH47" s="4">
        <v>24750</v>
      </c>
      <c r="BI47" s="4">
        <v>26149</v>
      </c>
      <c r="BJ47" s="4">
        <v>26709</v>
      </c>
    </row>
    <row r="48" spans="1:62" ht="16" x14ac:dyDescent="0.2">
      <c r="B48" s="6" t="s">
        <v>110</v>
      </c>
      <c r="C48" s="3" t="s">
        <v>72</v>
      </c>
      <c r="D48" s="4">
        <v>205</v>
      </c>
      <c r="E48" s="4">
        <v>171</v>
      </c>
      <c r="F48" s="4">
        <v>222</v>
      </c>
      <c r="G48" s="4">
        <v>242</v>
      </c>
      <c r="H48" s="4">
        <v>264</v>
      </c>
      <c r="I48" s="4">
        <v>304</v>
      </c>
      <c r="J48" s="4">
        <v>488</v>
      </c>
      <c r="K48" s="4">
        <v>538</v>
      </c>
      <c r="L48" s="4">
        <v>591</v>
      </c>
      <c r="M48" s="4">
        <v>675</v>
      </c>
      <c r="N48" s="4">
        <v>733</v>
      </c>
      <c r="O48" s="4">
        <v>817</v>
      </c>
      <c r="P48" s="4">
        <v>951</v>
      </c>
      <c r="Q48" s="4">
        <v>1083</v>
      </c>
      <c r="R48" s="4">
        <v>1334</v>
      </c>
      <c r="S48" s="4">
        <v>1537</v>
      </c>
      <c r="T48" s="4">
        <v>1910</v>
      </c>
      <c r="U48" s="4">
        <v>2506</v>
      </c>
      <c r="V48" s="4">
        <v>2499</v>
      </c>
      <c r="W48" s="4">
        <v>3141</v>
      </c>
      <c r="X48" s="4">
        <v>3572</v>
      </c>
      <c r="Y48" s="4">
        <v>3955</v>
      </c>
      <c r="Z48" s="4">
        <v>4420</v>
      </c>
      <c r="AA48" s="4">
        <v>4694</v>
      </c>
      <c r="AB48" s="4">
        <v>5316</v>
      </c>
      <c r="AC48" s="4">
        <v>6100</v>
      </c>
      <c r="AD48" s="4">
        <v>6928</v>
      </c>
      <c r="AE48" s="4">
        <v>6161</v>
      </c>
      <c r="AF48" s="4">
        <v>8016</v>
      </c>
      <c r="AG48" s="4">
        <v>8561</v>
      </c>
      <c r="AH48" s="4">
        <v>8391</v>
      </c>
      <c r="AI48" s="4">
        <v>11096</v>
      </c>
      <c r="AJ48" s="4">
        <v>12562</v>
      </c>
      <c r="AK48" s="4">
        <v>14697</v>
      </c>
      <c r="AL48" s="4">
        <v>17213</v>
      </c>
      <c r="AM48" s="4">
        <v>19755</v>
      </c>
      <c r="AN48" s="4">
        <v>17914</v>
      </c>
      <c r="AO48" s="4">
        <v>20948</v>
      </c>
      <c r="AP48" s="4">
        <v>20984</v>
      </c>
      <c r="AQ48" s="4">
        <v>22260</v>
      </c>
      <c r="AR48" s="4">
        <v>21533</v>
      </c>
      <c r="AS48" s="4">
        <v>20487</v>
      </c>
      <c r="AT48" s="4">
        <v>23026</v>
      </c>
      <c r="AU48" s="4">
        <v>25763</v>
      </c>
      <c r="AV48" s="4">
        <v>34275</v>
      </c>
      <c r="AW48" s="4">
        <v>36773</v>
      </c>
      <c r="AX48" s="4">
        <v>44666</v>
      </c>
      <c r="AY48" s="4">
        <v>48758</v>
      </c>
      <c r="AZ48" s="4">
        <v>50769</v>
      </c>
      <c r="BA48" s="4">
        <v>60233</v>
      </c>
      <c r="BB48" s="4">
        <v>66564</v>
      </c>
      <c r="BC48" s="4">
        <v>73390</v>
      </c>
      <c r="BD48" s="4">
        <v>83676</v>
      </c>
      <c r="BE48" s="4">
        <v>85534</v>
      </c>
      <c r="BF48" s="4">
        <v>89925</v>
      </c>
      <c r="BG48" s="4">
        <v>90741</v>
      </c>
      <c r="BH48" s="4">
        <v>122280</v>
      </c>
      <c r="BI48" s="4">
        <v>183211</v>
      </c>
      <c r="BJ48" s="4">
        <v>241532</v>
      </c>
    </row>
    <row r="49" spans="2:62" ht="16" x14ac:dyDescent="0.2">
      <c r="B49" s="6" t="s">
        <v>110</v>
      </c>
      <c r="C49" s="3" t="s">
        <v>73</v>
      </c>
      <c r="D49" s="4">
        <v>1414</v>
      </c>
      <c r="E49" s="4">
        <v>1580</v>
      </c>
      <c r="F49" s="4">
        <v>1789</v>
      </c>
      <c r="G49" s="4">
        <v>2130</v>
      </c>
      <c r="H49" s="4">
        <v>2404</v>
      </c>
      <c r="I49" s="4">
        <v>2570</v>
      </c>
      <c r="J49" s="4">
        <v>3057</v>
      </c>
      <c r="K49" s="4">
        <v>3416</v>
      </c>
      <c r="L49" s="4">
        <v>3359</v>
      </c>
      <c r="M49" s="4">
        <v>3820</v>
      </c>
      <c r="N49" s="4">
        <v>4404</v>
      </c>
      <c r="O49" s="4">
        <v>5003</v>
      </c>
      <c r="P49" s="4">
        <v>5521</v>
      </c>
      <c r="Q49" s="4">
        <v>5837</v>
      </c>
      <c r="R49" s="4">
        <v>5955</v>
      </c>
      <c r="S49" s="4">
        <v>5879</v>
      </c>
      <c r="T49" s="4">
        <v>6673</v>
      </c>
      <c r="U49" s="4">
        <v>7395</v>
      </c>
      <c r="V49" s="4">
        <v>8420</v>
      </c>
      <c r="W49" s="4">
        <v>9440</v>
      </c>
      <c r="X49" s="4">
        <v>11278</v>
      </c>
      <c r="Y49" s="4">
        <v>11629</v>
      </c>
      <c r="Z49" s="4">
        <v>11105</v>
      </c>
      <c r="AA49" s="4">
        <v>12063</v>
      </c>
      <c r="AB49" s="4">
        <v>12439</v>
      </c>
      <c r="AC49" s="4">
        <v>11800</v>
      </c>
      <c r="AD49" s="4">
        <v>12401</v>
      </c>
      <c r="AE49" s="4">
        <v>11783</v>
      </c>
      <c r="AF49" s="4">
        <v>13222</v>
      </c>
      <c r="AG49" s="4">
        <v>13985</v>
      </c>
      <c r="AH49" s="4">
        <v>15044</v>
      </c>
      <c r="AI49" s="4">
        <v>16301</v>
      </c>
      <c r="AJ49" s="4">
        <v>16715</v>
      </c>
      <c r="AK49" s="4">
        <v>18186</v>
      </c>
      <c r="AL49" s="4">
        <v>18436</v>
      </c>
      <c r="AM49" s="4">
        <v>16711</v>
      </c>
      <c r="AN49" s="4">
        <v>17775</v>
      </c>
      <c r="AO49" s="4">
        <v>17537</v>
      </c>
      <c r="AP49" s="4">
        <v>17577</v>
      </c>
      <c r="AQ49" s="4">
        <v>18147</v>
      </c>
      <c r="AR49" s="4">
        <v>20115</v>
      </c>
      <c r="AS49" s="4">
        <v>21738</v>
      </c>
      <c r="AT49" s="4">
        <v>19431</v>
      </c>
      <c r="AU49" s="4">
        <v>15310</v>
      </c>
      <c r="AV49" s="4">
        <v>14039</v>
      </c>
      <c r="AW49" s="4">
        <v>13757</v>
      </c>
      <c r="AX49" s="4">
        <v>14566</v>
      </c>
      <c r="AY49" s="4">
        <v>14378</v>
      </c>
      <c r="AZ49" s="4">
        <v>17269</v>
      </c>
      <c r="BA49" s="4">
        <v>17467</v>
      </c>
      <c r="BB49" s="4">
        <v>18186</v>
      </c>
      <c r="BC49" s="4">
        <v>19191</v>
      </c>
      <c r="BD49" s="4">
        <v>18900</v>
      </c>
      <c r="BE49" s="4">
        <v>19702</v>
      </c>
      <c r="BF49" s="4">
        <v>19917</v>
      </c>
      <c r="BG49" s="4">
        <v>19449</v>
      </c>
      <c r="BH49" s="4">
        <v>19786</v>
      </c>
      <c r="BI49" s="4">
        <v>21533</v>
      </c>
      <c r="BJ49" s="4">
        <v>21519</v>
      </c>
    </row>
    <row r="50" spans="2:62" ht="16" x14ac:dyDescent="0.2">
      <c r="B50" s="6" t="s">
        <v>110</v>
      </c>
      <c r="C50" s="3" t="s">
        <v>74</v>
      </c>
      <c r="D50" s="4">
        <v>1166</v>
      </c>
      <c r="E50" s="4">
        <v>1214</v>
      </c>
      <c r="F50" s="4">
        <v>1265</v>
      </c>
      <c r="G50" s="4">
        <v>1450</v>
      </c>
      <c r="H50" s="4">
        <v>1719</v>
      </c>
      <c r="I50" s="4">
        <v>1791</v>
      </c>
      <c r="J50" s="4">
        <v>1988</v>
      </c>
      <c r="K50" s="4">
        <v>2294</v>
      </c>
      <c r="L50" s="4">
        <v>2816</v>
      </c>
      <c r="M50" s="4">
        <v>2946</v>
      </c>
      <c r="N50" s="4">
        <v>3148</v>
      </c>
      <c r="O50" s="4">
        <v>3534</v>
      </c>
      <c r="P50" s="4">
        <v>3735</v>
      </c>
      <c r="Q50" s="4">
        <v>4472</v>
      </c>
      <c r="R50" s="4">
        <v>5138</v>
      </c>
      <c r="S50" s="4">
        <v>4773</v>
      </c>
      <c r="T50" s="4">
        <v>5758</v>
      </c>
      <c r="U50" s="4">
        <v>6647</v>
      </c>
      <c r="V50" s="4">
        <v>8007</v>
      </c>
      <c r="W50" s="4">
        <v>9085</v>
      </c>
      <c r="X50" s="4">
        <v>9641</v>
      </c>
      <c r="Y50" s="4">
        <v>9866</v>
      </c>
      <c r="Z50" s="4">
        <v>10510</v>
      </c>
      <c r="AA50" s="4">
        <v>11532</v>
      </c>
      <c r="AB50" s="4">
        <v>12440</v>
      </c>
      <c r="AC50" s="4">
        <v>12976</v>
      </c>
      <c r="AD50" s="4">
        <v>13509</v>
      </c>
      <c r="AE50" s="4">
        <v>14398</v>
      </c>
      <c r="AF50" s="4">
        <v>15438</v>
      </c>
      <c r="AG50" s="4">
        <v>15855</v>
      </c>
      <c r="AH50" s="4">
        <v>15972</v>
      </c>
      <c r="AI50" s="4">
        <v>17160</v>
      </c>
      <c r="AJ50" s="4">
        <v>18106</v>
      </c>
      <c r="AK50" s="4">
        <v>18075</v>
      </c>
      <c r="AL50" s="4">
        <v>19071</v>
      </c>
      <c r="AM50" s="4">
        <v>19708</v>
      </c>
      <c r="AN50" s="4">
        <v>19934</v>
      </c>
      <c r="AO50" s="4">
        <v>18953</v>
      </c>
      <c r="AP50" s="4">
        <v>19433</v>
      </c>
      <c r="AQ50" s="4">
        <v>19088</v>
      </c>
      <c r="AR50" s="4">
        <v>21015</v>
      </c>
      <c r="AS50" s="4">
        <v>21548</v>
      </c>
      <c r="AT50" s="4">
        <v>22901</v>
      </c>
      <c r="AU50" s="4">
        <v>18698</v>
      </c>
      <c r="AV50" s="4">
        <v>17112</v>
      </c>
      <c r="AW50" s="4">
        <v>16266</v>
      </c>
      <c r="AX50" s="4">
        <v>17536</v>
      </c>
      <c r="AY50" s="4">
        <v>19719</v>
      </c>
      <c r="AZ50" s="4">
        <v>20689</v>
      </c>
      <c r="BA50" s="4">
        <v>20706</v>
      </c>
      <c r="BB50" s="4">
        <v>21786</v>
      </c>
      <c r="BC50" s="4">
        <v>22388</v>
      </c>
      <c r="BD50" s="4">
        <v>21420</v>
      </c>
      <c r="BE50" s="4">
        <v>23169</v>
      </c>
      <c r="BF50" s="4">
        <v>22488</v>
      </c>
      <c r="BG50" s="4">
        <v>22392</v>
      </c>
      <c r="BH50" s="4">
        <v>26785</v>
      </c>
      <c r="BI50" s="4">
        <v>29693</v>
      </c>
      <c r="BJ50" s="4">
        <v>28124</v>
      </c>
    </row>
    <row r="51" spans="2:62" ht="16" x14ac:dyDescent="0.2">
      <c r="B51" s="6" t="s">
        <v>110</v>
      </c>
      <c r="C51" s="3" t="s">
        <v>75</v>
      </c>
      <c r="D51" s="4">
        <v>528</v>
      </c>
      <c r="E51" s="4">
        <v>524</v>
      </c>
      <c r="F51" s="4">
        <v>640</v>
      </c>
      <c r="G51" s="4">
        <v>692</v>
      </c>
      <c r="H51" s="4">
        <v>842</v>
      </c>
      <c r="I51" s="4">
        <v>894</v>
      </c>
      <c r="J51" s="4">
        <v>1006</v>
      </c>
      <c r="K51" s="4">
        <v>1234</v>
      </c>
      <c r="L51" s="4">
        <v>1639</v>
      </c>
      <c r="M51" s="4">
        <v>1793</v>
      </c>
      <c r="N51" s="4">
        <v>2089</v>
      </c>
      <c r="O51" s="4">
        <v>2408</v>
      </c>
      <c r="P51" s="4">
        <v>2624</v>
      </c>
      <c r="Q51" s="4">
        <v>2837</v>
      </c>
      <c r="R51" s="4">
        <v>3310</v>
      </c>
      <c r="S51" s="4">
        <v>3485</v>
      </c>
      <c r="T51" s="4">
        <v>3949</v>
      </c>
      <c r="U51" s="4">
        <v>4645</v>
      </c>
      <c r="V51" s="4">
        <v>5501</v>
      </c>
      <c r="W51" s="4">
        <v>6184</v>
      </c>
      <c r="X51" s="4">
        <v>6481</v>
      </c>
      <c r="Y51" s="4">
        <v>6567</v>
      </c>
      <c r="Z51" s="4">
        <v>6644</v>
      </c>
      <c r="AA51" s="4">
        <v>7270</v>
      </c>
      <c r="AB51" s="4">
        <v>7643</v>
      </c>
      <c r="AC51" s="4">
        <v>7750</v>
      </c>
      <c r="AD51" s="4">
        <v>7981</v>
      </c>
      <c r="AE51" s="4">
        <v>7615</v>
      </c>
      <c r="AF51" s="4">
        <v>8734</v>
      </c>
      <c r="AG51" s="4">
        <v>8946</v>
      </c>
      <c r="AH51" s="4">
        <v>9732</v>
      </c>
      <c r="AI51" s="4">
        <v>10396</v>
      </c>
      <c r="AJ51" s="4">
        <v>11327</v>
      </c>
      <c r="AK51" s="4">
        <v>12988</v>
      </c>
      <c r="AL51" s="4">
        <v>13537</v>
      </c>
      <c r="AM51" s="4">
        <v>14263</v>
      </c>
      <c r="AN51" s="4">
        <v>14365</v>
      </c>
      <c r="AO51" s="4">
        <v>15016</v>
      </c>
      <c r="AP51" s="4">
        <v>14233</v>
      </c>
      <c r="AQ51" s="4">
        <v>13959</v>
      </c>
      <c r="AR51" s="4">
        <v>15736</v>
      </c>
      <c r="AS51" s="4">
        <v>16939</v>
      </c>
      <c r="AT51" s="4">
        <v>14391</v>
      </c>
      <c r="AU51" s="4">
        <v>13415</v>
      </c>
      <c r="AV51" s="4">
        <v>14803</v>
      </c>
      <c r="AW51" s="4">
        <v>15273</v>
      </c>
      <c r="AX51" s="4">
        <v>15554</v>
      </c>
      <c r="AY51" s="4">
        <v>15849</v>
      </c>
      <c r="AZ51" s="4">
        <v>15348</v>
      </c>
      <c r="BA51" s="4">
        <v>15849</v>
      </c>
      <c r="BB51" s="4">
        <v>16577</v>
      </c>
      <c r="BC51" s="4">
        <v>19117</v>
      </c>
      <c r="BD51" s="4">
        <v>18706</v>
      </c>
      <c r="BE51" s="4">
        <v>19403</v>
      </c>
      <c r="BF51" s="4">
        <v>17140</v>
      </c>
      <c r="BG51" s="4">
        <v>20521</v>
      </c>
      <c r="BH51" s="4">
        <v>22867</v>
      </c>
      <c r="BI51" s="4">
        <v>26899</v>
      </c>
      <c r="BJ51" s="4">
        <v>26050</v>
      </c>
    </row>
    <row r="52" spans="2:62" ht="16" x14ac:dyDescent="0.2">
      <c r="B52" s="6" t="s">
        <v>110</v>
      </c>
      <c r="C52" s="3" t="s">
        <v>76</v>
      </c>
      <c r="D52" s="4">
        <v>590</v>
      </c>
      <c r="E52" s="4">
        <v>569</v>
      </c>
      <c r="F52" s="4">
        <v>642</v>
      </c>
      <c r="G52" s="4">
        <v>723</v>
      </c>
      <c r="H52" s="4">
        <v>812</v>
      </c>
      <c r="I52" s="4">
        <v>871</v>
      </c>
      <c r="J52" s="4">
        <v>939</v>
      </c>
      <c r="K52" s="4">
        <v>1096</v>
      </c>
      <c r="L52" s="4">
        <v>1234</v>
      </c>
      <c r="M52" s="4">
        <v>1358</v>
      </c>
      <c r="N52" s="4">
        <v>1533</v>
      </c>
      <c r="O52" s="4">
        <v>1665</v>
      </c>
      <c r="P52" s="4">
        <v>1800</v>
      </c>
      <c r="Q52" s="4">
        <v>1951</v>
      </c>
      <c r="R52" s="4">
        <v>2135</v>
      </c>
      <c r="S52" s="4">
        <v>2257</v>
      </c>
      <c r="T52" s="4">
        <v>2553</v>
      </c>
      <c r="U52" s="4">
        <v>2918</v>
      </c>
      <c r="V52" s="4">
        <v>3458</v>
      </c>
      <c r="W52" s="4">
        <v>3883</v>
      </c>
      <c r="X52" s="4">
        <v>4089</v>
      </c>
      <c r="Y52" s="4">
        <v>4226</v>
      </c>
      <c r="Z52" s="4">
        <v>4424</v>
      </c>
      <c r="AA52" s="4">
        <v>4613</v>
      </c>
      <c r="AB52" s="4">
        <v>4636</v>
      </c>
      <c r="AC52" s="4">
        <v>4724</v>
      </c>
      <c r="AD52" s="4">
        <v>4990</v>
      </c>
      <c r="AE52" s="4">
        <v>5206</v>
      </c>
      <c r="AF52" s="4">
        <v>6083</v>
      </c>
      <c r="AG52" s="4">
        <v>5834</v>
      </c>
      <c r="AH52" s="4">
        <v>6070</v>
      </c>
      <c r="AI52" s="4">
        <v>5999</v>
      </c>
      <c r="AJ52" s="4">
        <v>6452</v>
      </c>
      <c r="AK52" s="4">
        <v>6036</v>
      </c>
      <c r="AL52" s="4">
        <v>6789</v>
      </c>
      <c r="AM52" s="4">
        <v>6804</v>
      </c>
      <c r="AN52" s="4">
        <v>6319</v>
      </c>
      <c r="AO52" s="4">
        <v>5718</v>
      </c>
      <c r="AP52" s="4">
        <v>6207</v>
      </c>
      <c r="AQ52" s="4">
        <v>5566</v>
      </c>
      <c r="AR52" s="4">
        <v>6115</v>
      </c>
      <c r="AS52" s="4">
        <v>6731</v>
      </c>
      <c r="AT52" s="4">
        <v>8143</v>
      </c>
      <c r="AU52" s="4">
        <v>6106</v>
      </c>
      <c r="AV52" s="4">
        <v>6710</v>
      </c>
      <c r="AW52" s="4">
        <v>6996</v>
      </c>
      <c r="AX52" s="4">
        <v>6698</v>
      </c>
      <c r="AY52" s="4">
        <v>6098</v>
      </c>
      <c r="AZ52" s="4">
        <v>6591</v>
      </c>
      <c r="BA52" s="4">
        <v>7595</v>
      </c>
      <c r="BB52" s="4">
        <v>7718</v>
      </c>
      <c r="BC52" s="4">
        <v>7308</v>
      </c>
      <c r="BD52" s="4">
        <v>7936</v>
      </c>
      <c r="BE52" s="4">
        <v>8051</v>
      </c>
      <c r="BF52" s="4">
        <v>7193</v>
      </c>
      <c r="BG52" s="4">
        <v>8157</v>
      </c>
      <c r="BH52" s="4">
        <v>8935</v>
      </c>
      <c r="BI52" s="4">
        <v>9095</v>
      </c>
      <c r="BJ52" s="4">
        <v>9448</v>
      </c>
    </row>
    <row r="53" spans="2:62" ht="16" x14ac:dyDescent="0.2">
      <c r="B53" s="6" t="s">
        <v>110</v>
      </c>
      <c r="C53" s="3" t="s">
        <v>77</v>
      </c>
      <c r="D53" s="4">
        <v>1662</v>
      </c>
      <c r="E53" s="4">
        <v>1654</v>
      </c>
      <c r="F53" s="4">
        <v>1953</v>
      </c>
      <c r="G53" s="4">
        <v>2266</v>
      </c>
      <c r="H53" s="4">
        <v>2667</v>
      </c>
      <c r="I53" s="4">
        <v>2813</v>
      </c>
      <c r="J53" s="4">
        <v>3130</v>
      </c>
      <c r="K53" s="4">
        <v>3687</v>
      </c>
      <c r="L53" s="4">
        <v>4460</v>
      </c>
      <c r="M53" s="4">
        <v>4889</v>
      </c>
      <c r="N53" s="4">
        <v>5654</v>
      </c>
      <c r="O53" s="4">
        <v>6206</v>
      </c>
      <c r="P53" s="4">
        <v>6677</v>
      </c>
      <c r="Q53" s="4">
        <v>7561</v>
      </c>
      <c r="R53" s="4">
        <v>8880</v>
      </c>
      <c r="S53" s="4">
        <v>8616</v>
      </c>
      <c r="T53" s="4">
        <v>9849</v>
      </c>
      <c r="U53" s="4">
        <v>11120</v>
      </c>
      <c r="V53" s="4">
        <v>12782</v>
      </c>
      <c r="W53" s="4">
        <v>14350</v>
      </c>
      <c r="X53" s="4">
        <v>14912</v>
      </c>
      <c r="Y53" s="4">
        <v>14860</v>
      </c>
      <c r="Z53" s="4">
        <v>16056</v>
      </c>
      <c r="AA53" s="4">
        <v>17293</v>
      </c>
      <c r="AB53" s="4">
        <v>18271</v>
      </c>
      <c r="AC53" s="4">
        <v>18563</v>
      </c>
      <c r="AD53" s="4">
        <v>18854</v>
      </c>
      <c r="AE53" s="4">
        <v>18012</v>
      </c>
      <c r="AF53" s="4">
        <v>19774</v>
      </c>
      <c r="AG53" s="4">
        <v>23268</v>
      </c>
      <c r="AH53" s="4">
        <v>22907</v>
      </c>
      <c r="AI53" s="4">
        <v>25653</v>
      </c>
      <c r="AJ53" s="4">
        <v>26248</v>
      </c>
      <c r="AK53" s="4">
        <v>25449</v>
      </c>
      <c r="AL53" s="4">
        <v>29048</v>
      </c>
      <c r="AM53" s="4">
        <v>29991</v>
      </c>
      <c r="AN53" s="4">
        <v>33653</v>
      </c>
      <c r="AO53" s="4">
        <v>27913</v>
      </c>
      <c r="AP53" s="4">
        <v>29470</v>
      </c>
      <c r="AQ53" s="4">
        <v>27963</v>
      </c>
      <c r="AR53" s="4">
        <v>34565</v>
      </c>
      <c r="AS53" s="4">
        <v>39306</v>
      </c>
      <c r="AT53" s="4">
        <v>40236</v>
      </c>
      <c r="AU53" s="4">
        <v>34204</v>
      </c>
      <c r="AV53" s="4">
        <v>33431</v>
      </c>
      <c r="AW53" s="4">
        <v>37771</v>
      </c>
      <c r="AX53" s="4">
        <v>37272</v>
      </c>
      <c r="AY53" s="4">
        <v>42173</v>
      </c>
      <c r="AZ53" s="4">
        <v>40846</v>
      </c>
      <c r="BA53" s="4">
        <v>36736</v>
      </c>
      <c r="BB53" s="4">
        <v>43322</v>
      </c>
      <c r="BC53" s="4">
        <v>48302</v>
      </c>
      <c r="BD53" s="4">
        <v>47891</v>
      </c>
      <c r="BE53" s="4">
        <v>54181</v>
      </c>
      <c r="BF53" s="4">
        <v>43080</v>
      </c>
      <c r="BG53" s="4">
        <v>52896</v>
      </c>
      <c r="BH53" s="4">
        <v>45539</v>
      </c>
      <c r="BI53" s="4">
        <v>46865</v>
      </c>
      <c r="BJ53" s="4">
        <v>56252</v>
      </c>
    </row>
    <row r="54" spans="2:62" ht="16" x14ac:dyDescent="0.2">
      <c r="B54" s="6" t="s">
        <v>110</v>
      </c>
      <c r="C54" s="3" t="s">
        <v>78</v>
      </c>
      <c r="D54" s="4">
        <v>800</v>
      </c>
      <c r="E54" s="4">
        <v>829</v>
      </c>
      <c r="F54" s="4">
        <v>930</v>
      </c>
      <c r="G54" s="4">
        <v>1021</v>
      </c>
      <c r="H54" s="4">
        <v>864</v>
      </c>
      <c r="I54" s="4">
        <v>1169</v>
      </c>
      <c r="J54" s="4">
        <v>1386</v>
      </c>
      <c r="K54" s="4">
        <v>1555</v>
      </c>
      <c r="L54" s="4">
        <v>1774</v>
      </c>
      <c r="M54" s="4">
        <v>2336</v>
      </c>
      <c r="N54" s="4">
        <v>2527</v>
      </c>
      <c r="O54" s="4">
        <v>2353</v>
      </c>
      <c r="P54" s="4">
        <v>2345</v>
      </c>
      <c r="Q54" s="4">
        <v>2164</v>
      </c>
      <c r="R54" s="4">
        <v>2555</v>
      </c>
      <c r="S54" s="4">
        <v>3255</v>
      </c>
      <c r="T54" s="4">
        <v>3434</v>
      </c>
      <c r="U54" s="4">
        <v>4447</v>
      </c>
      <c r="V54" s="4">
        <v>5339</v>
      </c>
      <c r="W54" s="4">
        <v>4528</v>
      </c>
      <c r="X54" s="4">
        <v>4073</v>
      </c>
      <c r="Y54" s="4">
        <v>3891</v>
      </c>
      <c r="Z54" s="4">
        <v>4221</v>
      </c>
      <c r="AA54" s="4">
        <v>4041</v>
      </c>
      <c r="AB54" s="4">
        <v>5330</v>
      </c>
      <c r="AC54" s="4">
        <v>4723</v>
      </c>
      <c r="AD54" s="4">
        <v>5602</v>
      </c>
      <c r="AE54" s="4">
        <v>5150</v>
      </c>
      <c r="AF54" s="4">
        <v>5019</v>
      </c>
      <c r="AG54" s="4">
        <v>5978</v>
      </c>
      <c r="AH54" s="4">
        <v>5621</v>
      </c>
      <c r="AI54" s="4">
        <v>5158</v>
      </c>
      <c r="AJ54" s="4">
        <v>5341</v>
      </c>
      <c r="AK54" s="4">
        <v>4908</v>
      </c>
      <c r="AL54" s="4">
        <v>5104</v>
      </c>
      <c r="AM54" s="4">
        <v>5148</v>
      </c>
      <c r="AN54" s="4">
        <v>4999</v>
      </c>
      <c r="AO54" s="4">
        <v>5091</v>
      </c>
      <c r="AP54" s="4">
        <v>4311</v>
      </c>
      <c r="AQ54" s="4">
        <v>4812</v>
      </c>
      <c r="AR54" s="4">
        <v>5011</v>
      </c>
      <c r="AS54" s="4">
        <v>4466</v>
      </c>
      <c r="AT54" s="4">
        <v>5172</v>
      </c>
      <c r="AU54" s="4">
        <v>3428</v>
      </c>
      <c r="AV54" s="4">
        <v>4187</v>
      </c>
      <c r="AW54" s="4">
        <v>4728</v>
      </c>
      <c r="AX54" s="4">
        <v>3848</v>
      </c>
      <c r="AY54" s="4">
        <v>3389</v>
      </c>
      <c r="AZ54" s="4">
        <v>3400</v>
      </c>
      <c r="BA54" s="4">
        <v>4085</v>
      </c>
      <c r="BB54" s="4">
        <v>4548</v>
      </c>
      <c r="BC54" s="4">
        <v>4627</v>
      </c>
      <c r="BD54" s="4">
        <v>4226</v>
      </c>
      <c r="BE54" s="4">
        <v>4403</v>
      </c>
      <c r="BF54" s="4">
        <v>3917</v>
      </c>
      <c r="BG54" s="4">
        <v>4646</v>
      </c>
      <c r="BH54" s="4">
        <v>4417</v>
      </c>
      <c r="BI54" s="4">
        <v>5678</v>
      </c>
      <c r="BJ54" s="4">
        <v>6066</v>
      </c>
    </row>
    <row r="55" spans="2:62" ht="16" x14ac:dyDescent="0.2">
      <c r="B55" s="6" t="s">
        <v>108</v>
      </c>
      <c r="C55" s="3" t="s">
        <v>80</v>
      </c>
      <c r="D55" s="4">
        <v>1116</v>
      </c>
      <c r="E55" s="4">
        <v>1246</v>
      </c>
      <c r="F55" s="4">
        <v>1363</v>
      </c>
      <c r="G55" s="4">
        <v>1525</v>
      </c>
      <c r="H55" s="4">
        <v>1699</v>
      </c>
      <c r="I55" s="4">
        <v>1838</v>
      </c>
      <c r="J55" s="4">
        <v>1928</v>
      </c>
      <c r="K55" s="4">
        <v>1977</v>
      </c>
      <c r="L55" s="4">
        <v>2565</v>
      </c>
      <c r="M55" s="4">
        <v>3157</v>
      </c>
      <c r="N55" s="4">
        <v>3288</v>
      </c>
      <c r="O55" s="4">
        <v>3243</v>
      </c>
      <c r="P55" s="4">
        <v>4381</v>
      </c>
      <c r="Q55" s="4">
        <v>4556</v>
      </c>
      <c r="R55" s="4">
        <v>4874</v>
      </c>
      <c r="S55" s="4">
        <v>5297</v>
      </c>
      <c r="T55" s="4">
        <v>7534</v>
      </c>
      <c r="U55" s="4">
        <v>8013</v>
      </c>
      <c r="V55" s="4">
        <v>6882</v>
      </c>
      <c r="W55" s="4">
        <v>7946</v>
      </c>
      <c r="X55" s="4">
        <v>9062</v>
      </c>
      <c r="Y55" s="4">
        <v>10281</v>
      </c>
      <c r="Z55" s="4">
        <v>11379</v>
      </c>
      <c r="AA55" s="4">
        <v>13740</v>
      </c>
      <c r="AB55" s="4">
        <v>14567</v>
      </c>
      <c r="AC55" s="4">
        <v>16949</v>
      </c>
      <c r="AD55" s="4">
        <v>17624</v>
      </c>
      <c r="AE55" s="4">
        <v>18428</v>
      </c>
      <c r="AF55" s="4">
        <v>19300</v>
      </c>
      <c r="AG55" s="4">
        <v>20649</v>
      </c>
      <c r="AH55" s="4">
        <v>23369</v>
      </c>
      <c r="AI55" s="4">
        <v>23214</v>
      </c>
      <c r="AJ55" s="4">
        <v>22408</v>
      </c>
      <c r="AK55" s="4">
        <v>21678</v>
      </c>
      <c r="AL55" s="4">
        <v>21245</v>
      </c>
      <c r="AM55" s="4">
        <v>22619</v>
      </c>
      <c r="AN55" s="4">
        <v>22261</v>
      </c>
      <c r="AO55" s="4">
        <v>23618</v>
      </c>
      <c r="AP55" s="4">
        <v>24374</v>
      </c>
      <c r="AQ55" s="4">
        <v>24303</v>
      </c>
      <c r="AR55" s="4">
        <v>26155</v>
      </c>
      <c r="AS55" s="4">
        <v>21999</v>
      </c>
      <c r="AT55" s="4">
        <v>23286</v>
      </c>
      <c r="AU55" s="4">
        <v>20398</v>
      </c>
      <c r="AV55" s="4">
        <v>25367</v>
      </c>
      <c r="AW55" s="4">
        <v>23550</v>
      </c>
      <c r="AX55" s="4">
        <v>21713</v>
      </c>
      <c r="AY55" s="4">
        <v>19966</v>
      </c>
      <c r="AZ55" s="4">
        <v>21403</v>
      </c>
      <c r="BA55" s="4">
        <v>21813</v>
      </c>
      <c r="BB55" s="4">
        <v>20892</v>
      </c>
      <c r="BC55" s="4">
        <v>21865</v>
      </c>
      <c r="BD55" s="4">
        <v>21784</v>
      </c>
      <c r="BE55" s="4">
        <v>24374</v>
      </c>
      <c r="BF55" s="4">
        <v>23359</v>
      </c>
      <c r="BG55" s="4">
        <v>26387</v>
      </c>
      <c r="BH55" s="4">
        <v>55442</v>
      </c>
      <c r="BI55" s="4">
        <v>34427</v>
      </c>
      <c r="BJ55" s="4">
        <v>22160</v>
      </c>
    </row>
    <row r="56" spans="2:62" ht="16" x14ac:dyDescent="0.2">
      <c r="B56" s="6" t="s">
        <v>108</v>
      </c>
      <c r="C56" s="3" t="s">
        <v>81</v>
      </c>
      <c r="D56" s="4">
        <v>302</v>
      </c>
      <c r="E56" s="4">
        <v>350</v>
      </c>
      <c r="F56" s="4">
        <v>373</v>
      </c>
      <c r="G56" s="4">
        <v>400</v>
      </c>
      <c r="H56" s="4">
        <v>470</v>
      </c>
      <c r="I56" s="4">
        <v>551</v>
      </c>
      <c r="J56" s="4">
        <v>647</v>
      </c>
      <c r="K56" s="4">
        <v>780</v>
      </c>
      <c r="L56" s="4">
        <v>848</v>
      </c>
      <c r="M56" s="4">
        <v>1011</v>
      </c>
      <c r="N56" s="4">
        <v>1176</v>
      </c>
      <c r="O56" s="4">
        <v>1266</v>
      </c>
      <c r="P56" s="4">
        <v>1388</v>
      </c>
      <c r="Q56" s="4">
        <v>1554</v>
      </c>
      <c r="R56" s="4">
        <v>1660</v>
      </c>
      <c r="S56" s="4">
        <v>1858</v>
      </c>
      <c r="T56" s="4">
        <v>2223</v>
      </c>
      <c r="U56" s="4">
        <v>2656</v>
      </c>
      <c r="V56" s="4">
        <v>2935</v>
      </c>
      <c r="W56" s="4">
        <v>3123</v>
      </c>
      <c r="X56" s="4">
        <v>4388</v>
      </c>
      <c r="Y56" s="4">
        <v>4867</v>
      </c>
      <c r="Z56" s="4">
        <v>5194</v>
      </c>
      <c r="AA56" s="4">
        <v>6028</v>
      </c>
      <c r="AB56" s="4">
        <v>7047</v>
      </c>
      <c r="AC56" s="4">
        <v>7539</v>
      </c>
      <c r="AD56" s="4">
        <v>7670</v>
      </c>
      <c r="AE56" s="4">
        <v>6374</v>
      </c>
      <c r="AF56" s="4">
        <v>6255</v>
      </c>
      <c r="AG56" s="4">
        <v>6654</v>
      </c>
      <c r="AH56" s="4">
        <v>6769</v>
      </c>
      <c r="AI56" s="4">
        <v>7144</v>
      </c>
      <c r="AJ56" s="4">
        <v>7320</v>
      </c>
      <c r="AK56" s="4">
        <v>7834</v>
      </c>
      <c r="AL56" s="4">
        <v>8151</v>
      </c>
      <c r="AM56" s="4">
        <v>8558</v>
      </c>
      <c r="AN56" s="4">
        <v>8693</v>
      </c>
      <c r="AO56" s="4">
        <v>8972</v>
      </c>
      <c r="AP56" s="4">
        <v>9588</v>
      </c>
      <c r="AQ56" s="4">
        <v>9666</v>
      </c>
      <c r="AR56" s="4">
        <v>9765</v>
      </c>
      <c r="AS56" s="4">
        <v>10024</v>
      </c>
      <c r="AT56" s="4">
        <v>11541</v>
      </c>
      <c r="AU56" s="4">
        <v>11551</v>
      </c>
      <c r="AV56" s="4">
        <v>12657</v>
      </c>
      <c r="AW56" s="4">
        <v>13252</v>
      </c>
      <c r="AX56" s="4">
        <v>13666</v>
      </c>
      <c r="AY56" s="4">
        <v>13580</v>
      </c>
      <c r="AZ56" s="4">
        <v>14150</v>
      </c>
      <c r="BA56" s="4">
        <v>15145</v>
      </c>
      <c r="BB56" s="4">
        <v>15548</v>
      </c>
      <c r="BC56" s="4">
        <v>14948</v>
      </c>
      <c r="BD56" s="4">
        <v>15758</v>
      </c>
      <c r="BE56" s="4">
        <v>15734</v>
      </c>
      <c r="BF56" s="4">
        <v>16592</v>
      </c>
      <c r="BG56" s="4">
        <v>18563</v>
      </c>
      <c r="BH56" s="4">
        <v>18451</v>
      </c>
      <c r="BI56" s="4">
        <v>19332</v>
      </c>
      <c r="BJ56" s="4">
        <v>21870</v>
      </c>
    </row>
    <row r="57" spans="2:62" ht="16" x14ac:dyDescent="0.2">
      <c r="B57" s="6" t="s">
        <v>110</v>
      </c>
      <c r="C57" s="3" t="s">
        <v>82</v>
      </c>
      <c r="D57" s="4">
        <v>6928</v>
      </c>
      <c r="E57" s="4">
        <v>7666</v>
      </c>
      <c r="F57" s="4">
        <v>8191</v>
      </c>
      <c r="G57" s="4">
        <v>9005</v>
      </c>
      <c r="H57" s="4">
        <v>9706</v>
      </c>
      <c r="I57" s="4">
        <v>10910</v>
      </c>
      <c r="J57" s="4">
        <v>12798</v>
      </c>
      <c r="K57" s="4">
        <v>13401</v>
      </c>
      <c r="L57" s="4">
        <v>13904</v>
      </c>
      <c r="M57" s="4">
        <v>14568</v>
      </c>
      <c r="N57" s="4">
        <v>16164</v>
      </c>
      <c r="O57" s="4">
        <v>17291</v>
      </c>
      <c r="P57" s="4">
        <v>18268</v>
      </c>
      <c r="Q57" s="4">
        <v>18155</v>
      </c>
      <c r="R57" s="4">
        <v>21844</v>
      </c>
      <c r="S57" s="4">
        <v>20315</v>
      </c>
      <c r="T57" s="4">
        <v>21434</v>
      </c>
      <c r="U57" s="4">
        <v>22567</v>
      </c>
      <c r="V57" s="4">
        <v>25857</v>
      </c>
      <c r="W57" s="4">
        <v>27591</v>
      </c>
      <c r="X57" s="4">
        <v>30589</v>
      </c>
      <c r="Y57" s="4">
        <v>36758</v>
      </c>
      <c r="Z57" s="4">
        <v>39075</v>
      </c>
      <c r="AA57" s="4">
        <v>38639</v>
      </c>
      <c r="AB57" s="4">
        <v>37145</v>
      </c>
      <c r="AC57" s="4">
        <v>36980</v>
      </c>
      <c r="AD57" s="4">
        <v>38039</v>
      </c>
      <c r="AE57" s="4">
        <v>35420</v>
      </c>
      <c r="AF57" s="4">
        <v>38040</v>
      </c>
      <c r="AG57" s="4">
        <v>41209</v>
      </c>
      <c r="AH57" s="4">
        <v>46485</v>
      </c>
      <c r="AI57" s="4">
        <v>45780</v>
      </c>
      <c r="AJ57" s="4">
        <v>52307</v>
      </c>
      <c r="AK57" s="4">
        <v>58557</v>
      </c>
      <c r="AL57" s="4">
        <v>62537</v>
      </c>
      <c r="AM57" s="4">
        <v>60618</v>
      </c>
      <c r="AN57" s="4">
        <v>62618</v>
      </c>
      <c r="AO57" s="4">
        <v>66644</v>
      </c>
      <c r="AP57" s="4">
        <v>70077</v>
      </c>
      <c r="AQ57" s="4">
        <v>73581</v>
      </c>
      <c r="AR57" s="4">
        <v>83637</v>
      </c>
      <c r="AS57" s="4">
        <v>85507</v>
      </c>
      <c r="AT57" s="4">
        <v>94270</v>
      </c>
      <c r="AU57" s="4">
        <v>77152</v>
      </c>
      <c r="AV57" s="4">
        <v>69984</v>
      </c>
      <c r="AW57" s="4">
        <v>74743</v>
      </c>
      <c r="AX57" s="4">
        <v>75460</v>
      </c>
      <c r="AY57" s="4">
        <v>76438</v>
      </c>
      <c r="AZ57" s="4">
        <v>79409</v>
      </c>
      <c r="BA57" s="4">
        <v>88175</v>
      </c>
      <c r="BB57" s="4">
        <v>100126</v>
      </c>
      <c r="BC57" s="4">
        <v>107035</v>
      </c>
      <c r="BD57" s="4">
        <v>110420</v>
      </c>
      <c r="BE57" s="4">
        <v>109880</v>
      </c>
      <c r="BF57" s="4">
        <v>109278</v>
      </c>
      <c r="BG57" s="4">
        <v>119008</v>
      </c>
      <c r="BH57" s="4">
        <v>125709</v>
      </c>
      <c r="BI57" s="4">
        <v>134052</v>
      </c>
      <c r="BJ57" s="4">
        <v>125140</v>
      </c>
    </row>
    <row r="58" spans="2:62" ht="16" x14ac:dyDescent="0.2">
      <c r="B58" s="6" t="s">
        <v>108</v>
      </c>
      <c r="C58" s="3" t="s">
        <v>83</v>
      </c>
      <c r="D58" s="4">
        <v>12937</v>
      </c>
      <c r="E58" s="4">
        <v>13820</v>
      </c>
      <c r="F58" s="4">
        <v>14569</v>
      </c>
      <c r="G58" s="4">
        <v>16396</v>
      </c>
      <c r="H58" s="4">
        <v>19009</v>
      </c>
      <c r="I58" s="4">
        <v>20222</v>
      </c>
      <c r="J58" s="4">
        <v>22946</v>
      </c>
      <c r="K58" s="4">
        <v>27484</v>
      </c>
      <c r="L58" s="4">
        <v>30105</v>
      </c>
      <c r="M58" s="4">
        <v>33516</v>
      </c>
      <c r="N58" s="4">
        <v>39971</v>
      </c>
      <c r="O58" s="4">
        <v>42764</v>
      </c>
      <c r="P58" s="4">
        <v>45418</v>
      </c>
      <c r="Q58" s="4">
        <v>48880</v>
      </c>
      <c r="R58" s="4">
        <v>46977</v>
      </c>
      <c r="S58" s="4">
        <v>50870</v>
      </c>
      <c r="T58" s="4">
        <v>58746</v>
      </c>
      <c r="U58" s="4">
        <v>66734</v>
      </c>
      <c r="V58" s="4">
        <v>71375</v>
      </c>
      <c r="W58" s="4">
        <v>81595</v>
      </c>
      <c r="X58" s="4">
        <v>89284</v>
      </c>
      <c r="Y58" s="4">
        <v>89280</v>
      </c>
      <c r="Z58" s="4">
        <v>85372</v>
      </c>
      <c r="AA58" s="4">
        <v>86222</v>
      </c>
      <c r="AB58" s="4">
        <v>94572</v>
      </c>
      <c r="AC58" s="4">
        <v>102463</v>
      </c>
      <c r="AD58" s="4">
        <v>105483</v>
      </c>
      <c r="AE58" s="4">
        <v>102747</v>
      </c>
      <c r="AF58" s="4">
        <v>111337</v>
      </c>
      <c r="AG58" s="4">
        <v>117097</v>
      </c>
      <c r="AH58" s="4">
        <v>123507</v>
      </c>
      <c r="AI58" s="4">
        <v>127664</v>
      </c>
      <c r="AJ58" s="4">
        <v>130570</v>
      </c>
      <c r="AK58" s="4">
        <v>135778</v>
      </c>
      <c r="AL58" s="4">
        <v>139345</v>
      </c>
      <c r="AM58" s="4">
        <v>139774</v>
      </c>
      <c r="AN58" s="4">
        <v>147298</v>
      </c>
      <c r="AO58" s="4">
        <v>150101</v>
      </c>
      <c r="AP58" s="4">
        <v>154608</v>
      </c>
      <c r="AQ58" s="4">
        <v>161442</v>
      </c>
      <c r="AR58" s="4">
        <v>182198</v>
      </c>
      <c r="AS58" s="4">
        <v>191818</v>
      </c>
      <c r="AT58" s="4">
        <v>196545</v>
      </c>
      <c r="AU58" s="4">
        <v>185637</v>
      </c>
      <c r="AV58" s="4">
        <v>193015</v>
      </c>
      <c r="AW58" s="4">
        <v>205854</v>
      </c>
      <c r="AX58" s="4">
        <v>209994</v>
      </c>
      <c r="AY58" s="4">
        <v>215569</v>
      </c>
      <c r="AZ58" s="4">
        <v>224205</v>
      </c>
      <c r="BA58" s="4">
        <v>232860</v>
      </c>
      <c r="BB58" s="4">
        <v>235118</v>
      </c>
      <c r="BC58" s="4">
        <v>247542</v>
      </c>
      <c r="BD58" s="4">
        <v>255084</v>
      </c>
      <c r="BE58" s="4">
        <v>252638</v>
      </c>
      <c r="BF58" s="4">
        <v>282828</v>
      </c>
      <c r="BG58" s="4">
        <v>294855</v>
      </c>
      <c r="BH58" s="4">
        <v>285871</v>
      </c>
      <c r="BI58" s="4">
        <v>293977</v>
      </c>
      <c r="BJ58" s="4">
        <v>293852</v>
      </c>
    </row>
    <row r="59" spans="2:62" ht="16" x14ac:dyDescent="0.2">
      <c r="B59" s="6" t="s">
        <v>110</v>
      </c>
      <c r="C59" s="3" t="s">
        <v>84</v>
      </c>
      <c r="D59" s="4">
        <v>4732</v>
      </c>
      <c r="E59" s="4">
        <v>5200</v>
      </c>
      <c r="F59" s="4">
        <v>5840</v>
      </c>
      <c r="G59" s="4">
        <v>6514</v>
      </c>
      <c r="H59" s="4">
        <v>7135</v>
      </c>
      <c r="I59" s="4">
        <v>7252</v>
      </c>
      <c r="J59" s="4">
        <v>8163</v>
      </c>
      <c r="K59" s="4">
        <v>9428</v>
      </c>
      <c r="L59" s="4">
        <v>10494</v>
      </c>
      <c r="M59" s="4">
        <v>11526</v>
      </c>
      <c r="N59" s="4">
        <v>12504</v>
      </c>
      <c r="O59" s="4">
        <v>14123</v>
      </c>
      <c r="P59" s="4">
        <v>15151</v>
      </c>
      <c r="Q59" s="4">
        <v>17760</v>
      </c>
      <c r="R59" s="4">
        <v>18385</v>
      </c>
      <c r="S59" s="4">
        <v>20756</v>
      </c>
      <c r="T59" s="4">
        <v>23026</v>
      </c>
      <c r="U59" s="4">
        <v>25103</v>
      </c>
      <c r="V59" s="4">
        <v>29176</v>
      </c>
      <c r="W59" s="4">
        <v>30924</v>
      </c>
      <c r="X59" s="4">
        <v>32450</v>
      </c>
      <c r="Y59" s="4">
        <v>35633</v>
      </c>
      <c r="Z59" s="4">
        <v>40083</v>
      </c>
      <c r="AA59" s="4">
        <v>43196</v>
      </c>
      <c r="AB59" s="4">
        <v>44918</v>
      </c>
      <c r="AC59" s="4">
        <v>45879</v>
      </c>
      <c r="AD59" s="4">
        <v>48723</v>
      </c>
      <c r="AE59" s="4">
        <v>48912</v>
      </c>
      <c r="AF59" s="4">
        <v>52011</v>
      </c>
      <c r="AG59" s="4">
        <v>55028</v>
      </c>
      <c r="AH59" s="4">
        <v>56957</v>
      </c>
      <c r="AI59" s="4">
        <v>62135</v>
      </c>
      <c r="AJ59" s="4">
        <v>60618</v>
      </c>
      <c r="AK59" s="4">
        <v>63505</v>
      </c>
      <c r="AL59" s="4">
        <v>72517</v>
      </c>
      <c r="AM59" s="4">
        <v>76817</v>
      </c>
      <c r="AN59" s="4">
        <v>77595</v>
      </c>
      <c r="AO59" s="4">
        <v>80126</v>
      </c>
      <c r="AP59" s="4">
        <v>87781</v>
      </c>
      <c r="AQ59" s="4">
        <v>92390</v>
      </c>
      <c r="AR59" s="4">
        <v>83758</v>
      </c>
      <c r="AS59" s="4">
        <v>91199</v>
      </c>
      <c r="AT59" s="4">
        <v>86914</v>
      </c>
      <c r="AU59" s="4">
        <v>71091</v>
      </c>
      <c r="AV59" s="4">
        <v>91919</v>
      </c>
      <c r="AW59" s="4">
        <v>82060</v>
      </c>
      <c r="AX59" s="4">
        <v>82136</v>
      </c>
      <c r="AY59" s="4">
        <v>96465</v>
      </c>
      <c r="AZ59" s="4">
        <v>105210</v>
      </c>
      <c r="BA59" s="4">
        <v>104081</v>
      </c>
      <c r="BB59" s="4">
        <v>94104</v>
      </c>
      <c r="BC59" s="4">
        <v>102974</v>
      </c>
      <c r="BD59" s="4">
        <v>96770</v>
      </c>
      <c r="BE59" s="4">
        <v>107372</v>
      </c>
      <c r="BF59" s="4">
        <v>104964</v>
      </c>
      <c r="BG59" s="4">
        <v>181541</v>
      </c>
      <c r="BH59" s="4">
        <v>330454</v>
      </c>
      <c r="BI59" s="4">
        <v>143920</v>
      </c>
      <c r="BJ59" s="4">
        <v>154616</v>
      </c>
    </row>
    <row r="60" spans="2:62" ht="16" x14ac:dyDescent="0.2">
      <c r="B60" s="6" t="s">
        <v>108</v>
      </c>
      <c r="C60" s="3" t="s">
        <v>85</v>
      </c>
      <c r="D60" s="4">
        <v>1022</v>
      </c>
      <c r="E60" s="4">
        <v>1135</v>
      </c>
      <c r="F60" s="4">
        <v>1183</v>
      </c>
      <c r="G60" s="4">
        <v>1364</v>
      </c>
      <c r="H60" s="4">
        <v>1521</v>
      </c>
      <c r="I60" s="4">
        <v>1759</v>
      </c>
      <c r="J60" s="4">
        <v>1681</v>
      </c>
      <c r="K60" s="4">
        <v>2145</v>
      </c>
      <c r="L60" s="4">
        <v>2279</v>
      </c>
      <c r="M60" s="4">
        <v>2823</v>
      </c>
      <c r="N60" s="4">
        <v>3077</v>
      </c>
      <c r="O60" s="4">
        <v>3636</v>
      </c>
      <c r="P60" s="4">
        <v>4009</v>
      </c>
      <c r="Q60" s="4">
        <v>4434</v>
      </c>
      <c r="R60" s="4">
        <v>4938</v>
      </c>
      <c r="S60" s="4">
        <v>5461</v>
      </c>
      <c r="T60" s="4">
        <v>6241</v>
      </c>
      <c r="U60" s="4">
        <v>6937</v>
      </c>
      <c r="V60" s="4">
        <v>8513</v>
      </c>
      <c r="W60" s="4">
        <v>9338</v>
      </c>
      <c r="X60" s="4">
        <v>9419</v>
      </c>
      <c r="Y60" s="4">
        <v>10004</v>
      </c>
      <c r="Z60" s="4">
        <v>10065</v>
      </c>
      <c r="AA60" s="4">
        <v>10535</v>
      </c>
      <c r="AB60" s="4">
        <v>11271</v>
      </c>
      <c r="AC60" s="4">
        <v>11673</v>
      </c>
      <c r="AD60" s="4">
        <v>11854</v>
      </c>
      <c r="AE60" s="4">
        <v>11794</v>
      </c>
      <c r="AF60" s="4">
        <v>12453</v>
      </c>
      <c r="AG60" s="4">
        <v>13515</v>
      </c>
      <c r="AH60" s="4">
        <v>13710</v>
      </c>
      <c r="AI60" s="4">
        <v>15258</v>
      </c>
      <c r="AJ60" s="4">
        <v>15801</v>
      </c>
      <c r="AK60" s="4">
        <v>17632</v>
      </c>
      <c r="AL60" s="4">
        <v>16504</v>
      </c>
      <c r="AM60" s="4">
        <v>16889</v>
      </c>
      <c r="AN60" s="4">
        <v>17719</v>
      </c>
      <c r="AO60" s="4">
        <v>17972</v>
      </c>
      <c r="AP60" s="4">
        <v>18360</v>
      </c>
      <c r="AQ60" s="4">
        <v>19060</v>
      </c>
      <c r="AR60" s="4">
        <v>21281</v>
      </c>
      <c r="AS60" s="4">
        <v>22607</v>
      </c>
      <c r="AT60" s="4">
        <v>23223</v>
      </c>
      <c r="AU60" s="4">
        <v>21818</v>
      </c>
      <c r="AV60" s="4">
        <v>21082</v>
      </c>
      <c r="AW60" s="4">
        <v>22992</v>
      </c>
      <c r="AX60" s="4">
        <v>23828</v>
      </c>
      <c r="AY60" s="4">
        <v>25649</v>
      </c>
      <c r="AZ60" s="4">
        <v>26648</v>
      </c>
      <c r="BA60" s="4">
        <v>26645</v>
      </c>
      <c r="BB60" s="4">
        <v>29952</v>
      </c>
      <c r="BC60" s="4">
        <v>30956</v>
      </c>
      <c r="BD60" s="4">
        <v>32533</v>
      </c>
      <c r="BE60" s="4">
        <v>33442</v>
      </c>
      <c r="BF60" s="4">
        <v>21672</v>
      </c>
      <c r="BG60" s="4">
        <v>25847</v>
      </c>
      <c r="BH60" s="4">
        <v>36404</v>
      </c>
      <c r="BI60" s="4">
        <v>39453</v>
      </c>
      <c r="BJ60" s="4">
        <v>42155</v>
      </c>
    </row>
    <row r="61" spans="2:62" ht="16" x14ac:dyDescent="0.2">
      <c r="B61" s="6" t="s">
        <v>108</v>
      </c>
      <c r="C61" s="3" t="s">
        <v>86</v>
      </c>
      <c r="D61" s="4">
        <v>969</v>
      </c>
      <c r="E61" s="4">
        <v>1083</v>
      </c>
      <c r="F61" s="4">
        <v>1169</v>
      </c>
      <c r="G61" s="4">
        <v>1302</v>
      </c>
      <c r="H61" s="4">
        <v>1452</v>
      </c>
      <c r="I61" s="4">
        <v>1566</v>
      </c>
      <c r="J61" s="4">
        <v>1751</v>
      </c>
      <c r="K61" s="4">
        <v>1982</v>
      </c>
      <c r="L61" s="4">
        <v>2206</v>
      </c>
      <c r="M61" s="4">
        <v>2466</v>
      </c>
      <c r="N61" s="4">
        <v>2801</v>
      </c>
      <c r="O61" s="4">
        <v>3035</v>
      </c>
      <c r="P61" s="4">
        <v>3699</v>
      </c>
      <c r="Q61" s="4">
        <v>3959</v>
      </c>
      <c r="R61" s="4">
        <v>4336</v>
      </c>
      <c r="S61" s="4">
        <v>4301</v>
      </c>
      <c r="T61" s="4">
        <v>5165</v>
      </c>
      <c r="U61" s="4">
        <v>5820</v>
      </c>
      <c r="V61" s="4">
        <v>6465</v>
      </c>
      <c r="W61" s="4">
        <v>6701</v>
      </c>
      <c r="X61" s="4">
        <v>7556</v>
      </c>
      <c r="Y61" s="4">
        <v>7975</v>
      </c>
      <c r="Z61" s="4">
        <v>8060</v>
      </c>
      <c r="AA61" s="4">
        <v>8783</v>
      </c>
      <c r="AB61" s="4">
        <v>9739</v>
      </c>
      <c r="AC61" s="4">
        <v>9909</v>
      </c>
      <c r="AD61" s="4">
        <v>10587</v>
      </c>
      <c r="AE61" s="4">
        <v>10418</v>
      </c>
      <c r="AF61" s="4">
        <v>10953</v>
      </c>
      <c r="AG61" s="4">
        <v>11404</v>
      </c>
      <c r="AH61" s="4">
        <v>11842</v>
      </c>
      <c r="AI61" s="4">
        <v>12877</v>
      </c>
      <c r="AJ61" s="4">
        <v>13847</v>
      </c>
      <c r="AK61" s="4">
        <v>15033</v>
      </c>
      <c r="AL61" s="4">
        <v>15858</v>
      </c>
      <c r="AM61" s="4">
        <v>15900</v>
      </c>
      <c r="AN61" s="4">
        <v>16510</v>
      </c>
      <c r="AO61" s="4">
        <v>16963</v>
      </c>
      <c r="AP61" s="4">
        <v>16503</v>
      </c>
      <c r="AQ61" s="4">
        <v>18250</v>
      </c>
      <c r="AR61" s="4">
        <v>17942</v>
      </c>
      <c r="AS61" s="4">
        <v>18228</v>
      </c>
      <c r="AT61" s="4">
        <v>20326</v>
      </c>
      <c r="AU61" s="4">
        <v>18914</v>
      </c>
      <c r="AV61" s="4">
        <v>20506</v>
      </c>
      <c r="AW61" s="4">
        <v>20954</v>
      </c>
      <c r="AX61" s="4">
        <v>21280</v>
      </c>
      <c r="AY61" s="4">
        <v>22248</v>
      </c>
      <c r="AZ61" s="4">
        <v>24036</v>
      </c>
      <c r="BA61" s="4">
        <v>26563</v>
      </c>
      <c r="BB61" s="4">
        <v>27418</v>
      </c>
      <c r="BC61" s="4">
        <v>26714</v>
      </c>
      <c r="BD61" s="4">
        <v>27552</v>
      </c>
      <c r="BE61" s="4">
        <v>27911</v>
      </c>
      <c r="BF61" s="4">
        <v>27329</v>
      </c>
      <c r="BG61" s="4">
        <v>29361</v>
      </c>
      <c r="BH61" s="4">
        <v>29241</v>
      </c>
      <c r="BI61" s="4">
        <v>29124</v>
      </c>
      <c r="BJ61" s="4">
        <v>31172</v>
      </c>
    </row>
    <row r="62" spans="2:62" ht="16" x14ac:dyDescent="0.2">
      <c r="B62" s="6" t="s">
        <v>108</v>
      </c>
      <c r="C62" s="3" t="s">
        <v>87</v>
      </c>
      <c r="D62" s="4">
        <v>752</v>
      </c>
      <c r="E62" s="4">
        <v>812</v>
      </c>
      <c r="F62" s="4">
        <v>860</v>
      </c>
      <c r="G62" s="4">
        <v>942</v>
      </c>
      <c r="H62" s="4">
        <v>1059</v>
      </c>
      <c r="I62" s="4">
        <v>1106</v>
      </c>
      <c r="J62" s="4">
        <v>1183</v>
      </c>
      <c r="K62" s="4">
        <v>1336</v>
      </c>
      <c r="L62" s="4">
        <v>1466</v>
      </c>
      <c r="M62" s="4">
        <v>1695</v>
      </c>
      <c r="N62" s="4">
        <v>1975</v>
      </c>
      <c r="O62" s="4">
        <v>2181</v>
      </c>
      <c r="P62" s="4">
        <v>2403</v>
      </c>
      <c r="Q62" s="4">
        <v>2633</v>
      </c>
      <c r="R62" s="4">
        <v>2863</v>
      </c>
      <c r="S62" s="4">
        <v>3211</v>
      </c>
      <c r="T62" s="4">
        <v>3754</v>
      </c>
      <c r="U62" s="4">
        <v>4526</v>
      </c>
      <c r="V62" s="4">
        <v>5616</v>
      </c>
      <c r="W62" s="4">
        <v>6117</v>
      </c>
      <c r="X62" s="4">
        <v>6178</v>
      </c>
      <c r="Y62" s="4">
        <v>6464</v>
      </c>
      <c r="Z62" s="4">
        <v>7568</v>
      </c>
      <c r="AA62" s="4">
        <v>8208</v>
      </c>
      <c r="AB62" s="4">
        <v>9071</v>
      </c>
      <c r="AC62" s="4">
        <v>9346</v>
      </c>
      <c r="AD62" s="4">
        <v>10533</v>
      </c>
      <c r="AE62" s="4">
        <v>10888</v>
      </c>
      <c r="AF62" s="4">
        <v>11202</v>
      </c>
      <c r="AG62" s="4">
        <v>10556</v>
      </c>
      <c r="AH62" s="4">
        <v>13990</v>
      </c>
      <c r="AI62" s="4">
        <v>14704</v>
      </c>
      <c r="AJ62" s="4">
        <v>15525</v>
      </c>
      <c r="AK62" s="4">
        <v>17039</v>
      </c>
      <c r="AL62" s="4">
        <v>17898</v>
      </c>
      <c r="AM62" s="4">
        <v>17040</v>
      </c>
      <c r="AN62" s="4">
        <v>17387</v>
      </c>
      <c r="AO62" s="4">
        <v>20835</v>
      </c>
      <c r="AP62" s="4">
        <v>20836</v>
      </c>
      <c r="AQ62" s="4">
        <v>20484</v>
      </c>
      <c r="AR62" s="4">
        <v>20873</v>
      </c>
      <c r="AS62" s="4">
        <v>20580</v>
      </c>
      <c r="AT62" s="4">
        <v>21418</v>
      </c>
      <c r="AU62" s="4">
        <v>21140</v>
      </c>
      <c r="AV62" s="4">
        <v>18714</v>
      </c>
      <c r="AW62" s="4">
        <v>20843</v>
      </c>
      <c r="AX62" s="4">
        <v>19940</v>
      </c>
      <c r="AY62" s="4">
        <v>21076</v>
      </c>
      <c r="AZ62" s="4">
        <v>18740</v>
      </c>
      <c r="BA62" s="4">
        <v>18700</v>
      </c>
      <c r="BB62" s="4">
        <v>19320</v>
      </c>
      <c r="BC62" s="4">
        <v>18936</v>
      </c>
      <c r="BD62" s="4">
        <v>18554</v>
      </c>
      <c r="BE62" s="4">
        <v>20411</v>
      </c>
      <c r="BF62" s="4">
        <v>20523</v>
      </c>
      <c r="BG62" s="4">
        <v>19766</v>
      </c>
      <c r="BH62" s="4">
        <v>20314</v>
      </c>
      <c r="BI62" s="4">
        <v>21632</v>
      </c>
      <c r="BJ62" s="4">
        <v>22992</v>
      </c>
    </row>
    <row r="63" spans="2:62" ht="16" x14ac:dyDescent="0.2">
      <c r="B63" s="6" t="s">
        <v>110</v>
      </c>
      <c r="C63" s="3" t="s">
        <v>88</v>
      </c>
      <c r="D63" s="4">
        <v>55</v>
      </c>
      <c r="E63" s="4">
        <v>107</v>
      </c>
      <c r="F63" s="4">
        <v>137</v>
      </c>
      <c r="G63" s="4">
        <v>179</v>
      </c>
      <c r="H63" s="4">
        <v>227</v>
      </c>
      <c r="I63" s="4">
        <v>283</v>
      </c>
      <c r="J63" s="4">
        <v>358</v>
      </c>
      <c r="K63" s="4">
        <v>451</v>
      </c>
      <c r="L63" s="4">
        <v>527</v>
      </c>
      <c r="M63" s="4">
        <v>672</v>
      </c>
      <c r="N63" s="4">
        <v>805</v>
      </c>
      <c r="O63" s="4">
        <v>940</v>
      </c>
      <c r="P63" s="4">
        <v>1128</v>
      </c>
      <c r="Q63" s="4">
        <v>1458</v>
      </c>
      <c r="R63" s="4">
        <v>1684</v>
      </c>
      <c r="S63" s="4">
        <v>1996</v>
      </c>
      <c r="T63" s="4">
        <v>2379</v>
      </c>
      <c r="U63" s="4">
        <v>3089</v>
      </c>
      <c r="V63" s="4">
        <v>3508</v>
      </c>
      <c r="W63" s="4">
        <v>4037</v>
      </c>
      <c r="X63" s="4">
        <v>4706</v>
      </c>
      <c r="Y63" s="4">
        <v>5721</v>
      </c>
      <c r="Z63" s="4">
        <v>6401</v>
      </c>
      <c r="AA63" s="4">
        <v>7159</v>
      </c>
      <c r="AB63" s="4">
        <v>7841</v>
      </c>
      <c r="AC63" s="4">
        <v>8011</v>
      </c>
      <c r="AD63" s="4">
        <v>8014</v>
      </c>
      <c r="AE63" s="4">
        <v>8269</v>
      </c>
      <c r="AF63" s="4">
        <v>9162</v>
      </c>
      <c r="AG63" s="4">
        <v>7904</v>
      </c>
      <c r="AH63" s="4">
        <v>7696</v>
      </c>
      <c r="AI63" s="4">
        <v>11476</v>
      </c>
      <c r="AJ63" s="4">
        <v>11814</v>
      </c>
      <c r="AK63" s="4">
        <v>13446</v>
      </c>
      <c r="AL63" s="4">
        <v>15418</v>
      </c>
      <c r="AM63" s="4">
        <v>18190</v>
      </c>
      <c r="AN63" s="4">
        <v>19527</v>
      </c>
      <c r="AO63" s="4">
        <v>19450</v>
      </c>
      <c r="AP63" s="4">
        <v>21090</v>
      </c>
      <c r="AQ63" s="4">
        <v>19842</v>
      </c>
      <c r="AR63" s="4">
        <v>23250</v>
      </c>
      <c r="AS63" s="4">
        <v>25462</v>
      </c>
      <c r="AT63" s="4">
        <v>28501</v>
      </c>
      <c r="AU63" s="4">
        <v>32790</v>
      </c>
      <c r="AV63" s="4">
        <v>35191</v>
      </c>
      <c r="AW63" s="4">
        <v>32010</v>
      </c>
      <c r="AX63" s="4">
        <v>32261</v>
      </c>
      <c r="AY63" s="4">
        <v>35156</v>
      </c>
      <c r="AZ63" s="4">
        <v>34893</v>
      </c>
      <c r="BA63" s="4">
        <v>36510</v>
      </c>
      <c r="BB63" s="4">
        <v>39662</v>
      </c>
      <c r="BC63" s="4">
        <v>42137</v>
      </c>
      <c r="BD63" s="4">
        <v>42871</v>
      </c>
      <c r="BE63" s="4">
        <v>48063</v>
      </c>
      <c r="BF63" s="4">
        <v>51558</v>
      </c>
      <c r="BG63" s="4">
        <v>53700</v>
      </c>
      <c r="BH63" s="4">
        <v>56210</v>
      </c>
      <c r="BI63" s="4">
        <v>62968</v>
      </c>
      <c r="BJ63" s="4">
        <v>66261</v>
      </c>
    </row>
    <row r="64" spans="2:62" ht="16" x14ac:dyDescent="0.2">
      <c r="B64" s="6" t="s">
        <v>108</v>
      </c>
      <c r="C64" s="3" t="s">
        <v>89</v>
      </c>
      <c r="D64" s="4">
        <v>3831</v>
      </c>
      <c r="E64" s="4">
        <v>4200</v>
      </c>
      <c r="F64" s="4">
        <v>4560</v>
      </c>
      <c r="G64" s="4">
        <v>5172</v>
      </c>
      <c r="H64" s="4">
        <v>5488</v>
      </c>
      <c r="I64" s="4">
        <v>6174</v>
      </c>
      <c r="J64" s="4">
        <v>6853</v>
      </c>
      <c r="K64" s="4">
        <v>8249</v>
      </c>
      <c r="L64" s="4">
        <v>9339</v>
      </c>
      <c r="M64" s="4">
        <v>10141</v>
      </c>
      <c r="N64" s="4">
        <v>12146</v>
      </c>
      <c r="O64" s="4">
        <v>12836</v>
      </c>
      <c r="P64" s="4">
        <v>14583</v>
      </c>
      <c r="Q64" s="4">
        <v>15665</v>
      </c>
      <c r="R64" s="4">
        <v>16970</v>
      </c>
      <c r="S64" s="4">
        <v>17725</v>
      </c>
      <c r="T64" s="4">
        <v>20791</v>
      </c>
      <c r="U64" s="4">
        <v>22818</v>
      </c>
      <c r="V64" s="4">
        <v>26331</v>
      </c>
      <c r="W64" s="4">
        <v>27998</v>
      </c>
      <c r="X64" s="4">
        <v>30237</v>
      </c>
      <c r="Y64" s="4">
        <v>31443</v>
      </c>
      <c r="Z64" s="4">
        <v>32237</v>
      </c>
      <c r="AA64" s="4">
        <v>38155</v>
      </c>
      <c r="AB64" s="4">
        <v>36656</v>
      </c>
      <c r="AC64" s="4">
        <v>38722</v>
      </c>
      <c r="AD64" s="4">
        <v>41434</v>
      </c>
      <c r="AE64" s="4">
        <v>42924</v>
      </c>
      <c r="AF64" s="4">
        <v>48422</v>
      </c>
      <c r="AG64" s="4">
        <v>48617</v>
      </c>
      <c r="AH64" s="4">
        <v>46024</v>
      </c>
      <c r="AI64" s="4">
        <v>46384</v>
      </c>
      <c r="AJ64" s="4">
        <v>48678</v>
      </c>
      <c r="AK64" s="4">
        <v>47109</v>
      </c>
      <c r="AL64" s="4">
        <v>51943</v>
      </c>
      <c r="AM64" s="4">
        <v>54912</v>
      </c>
      <c r="AN64" s="4">
        <v>57504</v>
      </c>
      <c r="AO64" s="4">
        <v>60365</v>
      </c>
      <c r="AP64" s="4">
        <v>62784</v>
      </c>
      <c r="AQ64" s="4">
        <v>69159</v>
      </c>
      <c r="AR64" s="4">
        <v>73155</v>
      </c>
      <c r="AS64" s="4">
        <v>80254</v>
      </c>
      <c r="AT64" s="4">
        <v>90449</v>
      </c>
      <c r="AU64" s="4">
        <v>92317</v>
      </c>
      <c r="AV64" s="4">
        <v>94696</v>
      </c>
      <c r="AW64" s="4">
        <v>92064</v>
      </c>
      <c r="AX64" s="4">
        <v>99687</v>
      </c>
      <c r="AY64" s="4">
        <v>98056</v>
      </c>
      <c r="AZ64" s="4">
        <v>99817</v>
      </c>
      <c r="BA64" s="4">
        <v>102764</v>
      </c>
      <c r="BB64" s="4">
        <v>103398</v>
      </c>
      <c r="BC64" s="4">
        <v>107380</v>
      </c>
      <c r="BD64" s="4">
        <v>109399</v>
      </c>
      <c r="BE64" s="4">
        <v>107808</v>
      </c>
      <c r="BF64" s="4">
        <v>107425</v>
      </c>
      <c r="BG64" s="4">
        <v>115626</v>
      </c>
      <c r="BH64" s="4">
        <v>115142</v>
      </c>
      <c r="BI64" s="4">
        <v>137432</v>
      </c>
      <c r="BJ64" s="4">
        <v>142572</v>
      </c>
    </row>
    <row r="65" spans="2:62" ht="16" x14ac:dyDescent="0.2">
      <c r="B65" s="6" t="s">
        <v>110</v>
      </c>
      <c r="C65" s="3" t="s">
        <v>92</v>
      </c>
      <c r="D65" s="4">
        <v>1447</v>
      </c>
      <c r="E65" s="4">
        <v>1537</v>
      </c>
      <c r="F65" s="4">
        <v>1731</v>
      </c>
      <c r="G65" s="4">
        <v>1931</v>
      </c>
      <c r="H65" s="4">
        <v>2196</v>
      </c>
      <c r="I65" s="4">
        <v>2436</v>
      </c>
      <c r="J65" s="4">
        <v>2789</v>
      </c>
      <c r="K65" s="4">
        <v>3147</v>
      </c>
      <c r="L65" s="4">
        <v>3452</v>
      </c>
      <c r="M65" s="4">
        <v>3853</v>
      </c>
      <c r="N65" s="4">
        <v>4354</v>
      </c>
      <c r="O65" s="4">
        <v>5070</v>
      </c>
      <c r="P65" s="4">
        <v>5891</v>
      </c>
      <c r="Q65" s="4">
        <v>6950</v>
      </c>
      <c r="R65" s="4">
        <v>7907</v>
      </c>
      <c r="S65" s="4">
        <v>8899</v>
      </c>
      <c r="T65" s="4">
        <v>10504</v>
      </c>
      <c r="U65" s="4">
        <v>12011</v>
      </c>
      <c r="V65" s="4">
        <v>12928</v>
      </c>
      <c r="W65" s="4">
        <v>14338</v>
      </c>
      <c r="X65" s="4">
        <v>16252</v>
      </c>
      <c r="Y65" s="4">
        <v>18252</v>
      </c>
      <c r="Z65" s="4">
        <v>19990</v>
      </c>
      <c r="AA65" s="4">
        <v>23254</v>
      </c>
      <c r="AB65" s="4">
        <v>25641</v>
      </c>
      <c r="AC65" s="4">
        <v>26885</v>
      </c>
      <c r="AD65" s="4">
        <v>26509</v>
      </c>
      <c r="AE65" s="4">
        <v>27517</v>
      </c>
      <c r="AF65" s="4">
        <v>28321</v>
      </c>
      <c r="AG65" s="4">
        <v>27121</v>
      </c>
      <c r="AH65" s="4">
        <v>28875</v>
      </c>
      <c r="AI65" s="4">
        <v>34415</v>
      </c>
      <c r="AJ65" s="4">
        <v>33228</v>
      </c>
      <c r="AK65" s="4">
        <v>34897</v>
      </c>
      <c r="AL65" s="4">
        <v>38242</v>
      </c>
      <c r="AM65" s="4">
        <v>41689</v>
      </c>
      <c r="AN65" s="4">
        <v>40330</v>
      </c>
      <c r="AO65" s="4">
        <v>39159</v>
      </c>
      <c r="AP65" s="4">
        <v>43269</v>
      </c>
      <c r="AQ65" s="4">
        <v>49171</v>
      </c>
      <c r="AR65" s="4">
        <v>52925</v>
      </c>
      <c r="AS65" s="4">
        <v>54345</v>
      </c>
      <c r="AT65" s="4">
        <v>59769</v>
      </c>
      <c r="AU65" s="4">
        <v>60087</v>
      </c>
      <c r="AV65" s="4">
        <v>61998</v>
      </c>
      <c r="AW65" s="4">
        <v>63761</v>
      </c>
      <c r="AX65" s="4">
        <v>64968</v>
      </c>
      <c r="AY65" s="4">
        <v>68710</v>
      </c>
      <c r="AZ65" s="4">
        <v>67721</v>
      </c>
      <c r="BA65" s="4">
        <v>71782</v>
      </c>
      <c r="BB65" s="4">
        <v>74436</v>
      </c>
      <c r="BC65" s="4">
        <v>78207</v>
      </c>
      <c r="BD65" s="4">
        <v>83751</v>
      </c>
      <c r="BE65" s="4">
        <v>85257</v>
      </c>
      <c r="BF65" s="4">
        <v>88440</v>
      </c>
      <c r="BG65" s="4">
        <v>101034</v>
      </c>
      <c r="BH65" s="4">
        <v>104648</v>
      </c>
      <c r="BI65" s="4">
        <v>113524</v>
      </c>
      <c r="BJ65" s="4">
        <v>118787</v>
      </c>
    </row>
    <row r="66" spans="2:62" ht="16" x14ac:dyDescent="0.2">
      <c r="B66" s="6" t="s">
        <v>110</v>
      </c>
      <c r="C66" s="3" t="s">
        <v>93</v>
      </c>
      <c r="D66" s="4">
        <v>296</v>
      </c>
      <c r="E66" s="4">
        <v>337</v>
      </c>
      <c r="F66" s="4">
        <v>385</v>
      </c>
      <c r="G66" s="4">
        <v>440</v>
      </c>
      <c r="H66" s="4">
        <v>528</v>
      </c>
      <c r="I66" s="4">
        <v>627</v>
      </c>
      <c r="J66" s="4">
        <v>713</v>
      </c>
      <c r="K66" s="4">
        <v>814</v>
      </c>
      <c r="L66" s="4">
        <v>976</v>
      </c>
      <c r="M66" s="4">
        <v>1135</v>
      </c>
      <c r="N66" s="4">
        <v>1261</v>
      </c>
      <c r="O66" s="4">
        <v>1390</v>
      </c>
      <c r="P66" s="4">
        <v>1558</v>
      </c>
      <c r="Q66" s="4">
        <v>1739</v>
      </c>
      <c r="R66" s="4">
        <v>1943</v>
      </c>
      <c r="S66" s="4">
        <v>2233</v>
      </c>
      <c r="T66" s="4">
        <v>2538</v>
      </c>
      <c r="U66" s="4">
        <v>2708</v>
      </c>
      <c r="V66" s="4">
        <v>2844</v>
      </c>
      <c r="W66" s="4">
        <v>2938</v>
      </c>
      <c r="X66" s="4">
        <v>3068</v>
      </c>
      <c r="Y66" s="4">
        <v>3313</v>
      </c>
      <c r="Z66" s="4">
        <v>3611</v>
      </c>
      <c r="AA66" s="4">
        <v>3803</v>
      </c>
      <c r="AB66" s="4">
        <v>3983</v>
      </c>
      <c r="AC66" s="4">
        <v>4298</v>
      </c>
      <c r="AD66" s="4">
        <v>4036</v>
      </c>
      <c r="AE66" s="4">
        <v>3542</v>
      </c>
      <c r="AF66" s="4">
        <v>4078</v>
      </c>
      <c r="AG66" s="4">
        <v>4028</v>
      </c>
      <c r="AH66" s="4">
        <v>3941</v>
      </c>
      <c r="AI66" s="4">
        <v>4306</v>
      </c>
      <c r="AJ66" s="4">
        <v>4531</v>
      </c>
      <c r="AK66" s="4">
        <v>4917</v>
      </c>
      <c r="AL66" s="4">
        <v>5215</v>
      </c>
      <c r="AM66" s="4">
        <v>5205</v>
      </c>
      <c r="AN66" s="4">
        <v>5437</v>
      </c>
      <c r="AO66" s="4">
        <v>6200</v>
      </c>
      <c r="AP66" s="4">
        <v>5700</v>
      </c>
      <c r="AQ66" s="4">
        <v>6433</v>
      </c>
      <c r="AR66" s="4">
        <v>6725</v>
      </c>
      <c r="AS66" s="4">
        <v>7008</v>
      </c>
      <c r="AT66" s="4">
        <v>11788</v>
      </c>
      <c r="AU66" s="4">
        <v>13274</v>
      </c>
      <c r="AV66" s="4">
        <v>12936</v>
      </c>
      <c r="AW66" s="4">
        <v>9544</v>
      </c>
      <c r="AX66" s="4">
        <v>8135</v>
      </c>
      <c r="AY66" s="4">
        <v>9878</v>
      </c>
      <c r="AZ66" s="4">
        <v>11836</v>
      </c>
      <c r="BA66" s="4">
        <v>12750</v>
      </c>
      <c r="BB66" s="4">
        <v>25060</v>
      </c>
      <c r="BC66" s="4">
        <v>23077</v>
      </c>
      <c r="BD66" s="4">
        <v>24403</v>
      </c>
      <c r="BE66" s="4">
        <v>25193</v>
      </c>
      <c r="BF66" s="4">
        <v>26048</v>
      </c>
      <c r="BG66" s="4">
        <v>32868</v>
      </c>
      <c r="BH66" s="4">
        <v>25383</v>
      </c>
      <c r="BI66" s="4">
        <v>29480</v>
      </c>
      <c r="BJ66" s="4">
        <v>34103</v>
      </c>
    </row>
    <row r="67" spans="2:62" ht="16" x14ac:dyDescent="0.2">
      <c r="B67" s="6" t="s">
        <v>110</v>
      </c>
      <c r="C67" s="3" t="s">
        <v>94</v>
      </c>
      <c r="D67" s="4">
        <v>277</v>
      </c>
      <c r="E67" s="4">
        <v>296</v>
      </c>
      <c r="F67" s="4">
        <v>356</v>
      </c>
      <c r="G67" s="4">
        <v>404</v>
      </c>
      <c r="H67" s="4">
        <v>459</v>
      </c>
      <c r="I67" s="4">
        <v>517</v>
      </c>
      <c r="J67" s="4">
        <v>585</v>
      </c>
      <c r="K67" s="4">
        <v>632</v>
      </c>
      <c r="L67" s="4">
        <v>703</v>
      </c>
      <c r="M67" s="4">
        <v>806</v>
      </c>
      <c r="N67" s="4">
        <v>966</v>
      </c>
      <c r="O67" s="4">
        <v>1161</v>
      </c>
      <c r="P67" s="4">
        <v>1328</v>
      </c>
      <c r="Q67" s="4">
        <v>1599</v>
      </c>
      <c r="R67" s="4">
        <v>1720</v>
      </c>
      <c r="S67" s="4">
        <v>1877</v>
      </c>
      <c r="T67" s="4">
        <v>2339</v>
      </c>
      <c r="U67" s="4">
        <v>2539</v>
      </c>
      <c r="V67" s="4">
        <v>2770</v>
      </c>
      <c r="W67" s="4">
        <v>3319</v>
      </c>
      <c r="X67" s="4">
        <v>3755</v>
      </c>
      <c r="Y67" s="4">
        <v>4278</v>
      </c>
      <c r="Z67" s="4">
        <v>5106</v>
      </c>
      <c r="AA67" s="4">
        <v>5594</v>
      </c>
      <c r="AB67" s="4">
        <v>5435</v>
      </c>
      <c r="AC67" s="4">
        <v>5910</v>
      </c>
      <c r="AD67" s="4">
        <v>6986</v>
      </c>
      <c r="AE67" s="4">
        <v>6418</v>
      </c>
      <c r="AF67" s="4">
        <v>6474</v>
      </c>
      <c r="AG67" s="4">
        <v>7296</v>
      </c>
      <c r="AH67" s="4">
        <v>7843</v>
      </c>
      <c r="AI67" s="4">
        <v>8159</v>
      </c>
      <c r="AJ67" s="4">
        <v>9117</v>
      </c>
      <c r="AK67" s="4">
        <v>10324</v>
      </c>
      <c r="AL67" s="4">
        <v>10689</v>
      </c>
      <c r="AM67" s="4">
        <v>11233</v>
      </c>
      <c r="AN67" s="4">
        <v>10886</v>
      </c>
      <c r="AO67" s="4">
        <v>11064</v>
      </c>
      <c r="AP67" s="4">
        <v>12217</v>
      </c>
      <c r="AQ67" s="4">
        <v>13367</v>
      </c>
      <c r="AR67" s="4">
        <v>14126</v>
      </c>
      <c r="AS67" s="4">
        <v>13195</v>
      </c>
      <c r="AT67" s="4">
        <v>15112</v>
      </c>
      <c r="AU67" s="4">
        <v>13688</v>
      </c>
      <c r="AV67" s="4">
        <v>12972</v>
      </c>
      <c r="AW67" s="4">
        <v>13257</v>
      </c>
      <c r="AX67" s="4">
        <v>12615</v>
      </c>
      <c r="AY67" s="4">
        <v>12986</v>
      </c>
      <c r="AZ67" s="4">
        <v>13416</v>
      </c>
      <c r="BA67" s="4">
        <v>14586</v>
      </c>
      <c r="BB67" s="4">
        <v>15465</v>
      </c>
      <c r="BC67" s="4">
        <v>17583</v>
      </c>
      <c r="BD67" s="4">
        <v>18120</v>
      </c>
      <c r="BE67" s="4">
        <v>19811</v>
      </c>
      <c r="BF67" s="4">
        <v>18960</v>
      </c>
      <c r="BG67" s="4">
        <v>22841</v>
      </c>
      <c r="BH67" s="4">
        <v>22336</v>
      </c>
      <c r="BI67" s="4">
        <v>24634</v>
      </c>
      <c r="BJ67" s="4">
        <v>25808</v>
      </c>
    </row>
    <row r="68" spans="2:62" ht="16" x14ac:dyDescent="0.2">
      <c r="B68" s="6" t="s">
        <v>108</v>
      </c>
      <c r="C68" s="3" t="s">
        <v>96</v>
      </c>
      <c r="D68" s="4">
        <v>3842</v>
      </c>
      <c r="E68" s="4">
        <v>4462</v>
      </c>
      <c r="F68" s="4">
        <v>5161</v>
      </c>
      <c r="G68" s="4">
        <v>6076</v>
      </c>
      <c r="H68" s="4">
        <v>7301</v>
      </c>
      <c r="I68" s="4">
        <v>8542</v>
      </c>
      <c r="J68" s="4">
        <v>9505</v>
      </c>
      <c r="K68" s="4">
        <v>10737</v>
      </c>
      <c r="L68" s="4">
        <v>12642</v>
      </c>
      <c r="M68" s="4">
        <v>14946</v>
      </c>
      <c r="N68" s="4">
        <v>16954</v>
      </c>
      <c r="O68" s="4">
        <v>18632</v>
      </c>
      <c r="P68" s="4">
        <v>21009</v>
      </c>
      <c r="Q68" s="4">
        <v>23716</v>
      </c>
      <c r="R68" s="4">
        <v>26843</v>
      </c>
      <c r="S68" s="4">
        <v>30996</v>
      </c>
      <c r="T68" s="4">
        <v>35964</v>
      </c>
      <c r="U68" s="4">
        <v>39125</v>
      </c>
      <c r="V68" s="4">
        <v>41201</v>
      </c>
      <c r="W68" s="4">
        <v>43084</v>
      </c>
      <c r="X68" s="4">
        <v>42959</v>
      </c>
      <c r="Y68" s="4">
        <v>46599</v>
      </c>
      <c r="Z68" s="4">
        <v>49011</v>
      </c>
      <c r="AA68" s="4">
        <v>51665</v>
      </c>
      <c r="AB68" s="4">
        <v>52288</v>
      </c>
      <c r="AC68" s="4">
        <v>54160</v>
      </c>
      <c r="AD68" s="4">
        <v>56966</v>
      </c>
      <c r="AE68" s="4">
        <v>58440</v>
      </c>
      <c r="AF68" s="4">
        <v>57682</v>
      </c>
      <c r="AG68" s="4">
        <v>58666</v>
      </c>
      <c r="AH68" s="4">
        <v>60717</v>
      </c>
      <c r="AI68" s="4">
        <v>64009</v>
      </c>
      <c r="AJ68" s="4">
        <v>65659</v>
      </c>
      <c r="AK68" s="4">
        <v>68524</v>
      </c>
      <c r="AL68" s="4">
        <v>69165</v>
      </c>
      <c r="AM68" s="4">
        <v>71892</v>
      </c>
      <c r="AN68" s="4">
        <v>74313</v>
      </c>
      <c r="AO68" s="4">
        <v>75016</v>
      </c>
      <c r="AP68" s="4">
        <v>77520</v>
      </c>
      <c r="AQ68" s="4">
        <v>79219</v>
      </c>
      <c r="AR68" s="4">
        <v>81666</v>
      </c>
      <c r="AS68" s="4">
        <v>82203</v>
      </c>
      <c r="AT68" s="4">
        <v>87169</v>
      </c>
      <c r="AU68" s="4">
        <v>90750</v>
      </c>
      <c r="AV68" s="4">
        <v>93902</v>
      </c>
      <c r="AW68" s="4">
        <v>92140</v>
      </c>
      <c r="AX68" s="4">
        <v>93604</v>
      </c>
      <c r="AY68" s="4">
        <v>92099</v>
      </c>
      <c r="AZ68" s="4">
        <v>91573</v>
      </c>
      <c r="BA68" s="4">
        <v>92758</v>
      </c>
      <c r="BB68" s="4">
        <v>92420</v>
      </c>
      <c r="BC68" s="4">
        <v>93065</v>
      </c>
      <c r="BD68" s="4">
        <v>95071</v>
      </c>
      <c r="BE68" s="4">
        <v>98547</v>
      </c>
      <c r="BF68" s="4">
        <v>101081</v>
      </c>
      <c r="BG68" s="4">
        <v>107789</v>
      </c>
      <c r="BH68" s="4">
        <v>110178</v>
      </c>
      <c r="BI68" s="4">
        <v>114332</v>
      </c>
      <c r="BJ68" s="4">
        <v>121725</v>
      </c>
    </row>
    <row r="69" spans="2:62" ht="16" x14ac:dyDescent="0.2">
      <c r="B69" s="6" t="s">
        <v>108</v>
      </c>
      <c r="C69" s="3" t="s">
        <v>97</v>
      </c>
      <c r="D69" s="4">
        <v>3240</v>
      </c>
      <c r="E69" s="4">
        <v>3775</v>
      </c>
      <c r="F69" s="4">
        <v>4329</v>
      </c>
      <c r="G69" s="4">
        <v>5056</v>
      </c>
      <c r="H69" s="4">
        <v>6007</v>
      </c>
      <c r="I69" s="4">
        <v>6938</v>
      </c>
      <c r="J69" s="4">
        <v>7886</v>
      </c>
      <c r="K69" s="4">
        <v>8824</v>
      </c>
      <c r="L69" s="4">
        <v>10364</v>
      </c>
      <c r="M69" s="4">
        <v>12363</v>
      </c>
      <c r="N69" s="4">
        <v>14039</v>
      </c>
      <c r="O69" s="4">
        <v>15340</v>
      </c>
      <c r="P69" s="4">
        <v>17017</v>
      </c>
      <c r="Q69" s="4">
        <v>19016</v>
      </c>
      <c r="R69" s="4">
        <v>21414</v>
      </c>
      <c r="S69" s="4">
        <v>24203</v>
      </c>
      <c r="T69" s="4">
        <v>27418</v>
      </c>
      <c r="U69" s="4">
        <v>29374</v>
      </c>
      <c r="V69" s="4">
        <v>31116</v>
      </c>
      <c r="W69" s="4">
        <v>32138</v>
      </c>
      <c r="X69" s="4">
        <v>33459</v>
      </c>
      <c r="Y69" s="4">
        <v>37331</v>
      </c>
      <c r="Z69" s="4">
        <v>40301</v>
      </c>
      <c r="AA69" s="4">
        <v>42035</v>
      </c>
      <c r="AB69" s="4">
        <v>41949</v>
      </c>
      <c r="AC69" s="4">
        <v>44911</v>
      </c>
      <c r="AD69" s="4">
        <v>46634</v>
      </c>
      <c r="AE69" s="4">
        <v>48421</v>
      </c>
      <c r="AF69" s="4">
        <v>51353</v>
      </c>
      <c r="AG69" s="4">
        <v>52167</v>
      </c>
      <c r="AH69" s="4">
        <v>54626</v>
      </c>
      <c r="AI69" s="4">
        <v>56586</v>
      </c>
      <c r="AJ69" s="4">
        <v>60092</v>
      </c>
      <c r="AK69" s="4">
        <v>63054</v>
      </c>
      <c r="AL69" s="4">
        <v>66120</v>
      </c>
      <c r="AM69" s="4">
        <v>69212</v>
      </c>
      <c r="AN69" s="4">
        <v>73161</v>
      </c>
      <c r="AO69" s="4">
        <v>74779</v>
      </c>
      <c r="AP69" s="4">
        <v>78392</v>
      </c>
      <c r="AQ69" s="4">
        <v>79977</v>
      </c>
      <c r="AR69" s="4">
        <v>83504</v>
      </c>
      <c r="AS69" s="4">
        <v>84974</v>
      </c>
      <c r="AT69" s="4">
        <v>91857</v>
      </c>
      <c r="AU69" s="4">
        <v>97268</v>
      </c>
      <c r="AV69" s="4">
        <v>101614</v>
      </c>
      <c r="AW69" s="4">
        <v>102253</v>
      </c>
      <c r="AX69" s="4">
        <v>105624</v>
      </c>
      <c r="AY69" s="4">
        <v>106286</v>
      </c>
      <c r="AZ69" s="4">
        <v>112364</v>
      </c>
      <c r="BA69" s="4">
        <v>115066</v>
      </c>
      <c r="BB69" s="4">
        <v>116899</v>
      </c>
      <c r="BC69" s="4">
        <v>117390</v>
      </c>
      <c r="BD69" s="4">
        <v>119699</v>
      </c>
      <c r="BE69" s="4">
        <v>121614</v>
      </c>
      <c r="BF69" s="4">
        <v>121956</v>
      </c>
      <c r="BG69" s="4">
        <v>125366</v>
      </c>
      <c r="BH69" s="4">
        <v>128133</v>
      </c>
      <c r="BI69" s="4">
        <v>131806</v>
      </c>
      <c r="BJ69" s="4">
        <v>138694</v>
      </c>
    </row>
    <row r="70" spans="2:62" ht="16" x14ac:dyDescent="0.2">
      <c r="B70" s="6" t="s">
        <v>108</v>
      </c>
      <c r="C70" s="3" t="s">
        <v>98</v>
      </c>
      <c r="D70" s="4">
        <v>2640</v>
      </c>
      <c r="E70" s="4">
        <v>3045</v>
      </c>
      <c r="F70" s="4">
        <v>3481</v>
      </c>
      <c r="G70" s="4">
        <v>4039</v>
      </c>
      <c r="H70" s="4">
        <v>4902</v>
      </c>
      <c r="I70" s="4">
        <v>5818</v>
      </c>
      <c r="J70" s="4">
        <v>6704</v>
      </c>
      <c r="K70" s="4">
        <v>7426</v>
      </c>
      <c r="L70" s="4">
        <v>9212</v>
      </c>
      <c r="M70" s="4">
        <v>10634</v>
      </c>
      <c r="N70" s="4">
        <v>11882</v>
      </c>
      <c r="O70" s="4">
        <v>12454</v>
      </c>
      <c r="P70" s="4">
        <v>13762</v>
      </c>
      <c r="Q70" s="4">
        <v>15203</v>
      </c>
      <c r="R70" s="4">
        <v>16812</v>
      </c>
      <c r="S70" s="4">
        <v>18722</v>
      </c>
      <c r="T70" s="4">
        <v>22168</v>
      </c>
      <c r="U70" s="4">
        <v>23496</v>
      </c>
      <c r="V70" s="4">
        <v>23576</v>
      </c>
      <c r="W70" s="4">
        <v>25119</v>
      </c>
      <c r="X70" s="4">
        <v>25207</v>
      </c>
      <c r="Y70" s="4">
        <v>26853</v>
      </c>
      <c r="Z70" s="4">
        <v>31013</v>
      </c>
      <c r="AA70" s="4">
        <v>31582</v>
      </c>
      <c r="AB70" s="4">
        <v>33357</v>
      </c>
      <c r="AC70" s="4">
        <v>34914</v>
      </c>
      <c r="AD70" s="4">
        <v>35711</v>
      </c>
      <c r="AE70" s="4">
        <v>36609</v>
      </c>
      <c r="AF70" s="4">
        <v>37453</v>
      </c>
      <c r="AG70" s="4">
        <v>37710</v>
      </c>
      <c r="AH70" s="4">
        <v>39474</v>
      </c>
      <c r="AI70" s="4">
        <v>40892</v>
      </c>
      <c r="AJ70" s="4">
        <v>43211</v>
      </c>
      <c r="AK70" s="4">
        <v>45984</v>
      </c>
      <c r="AL70" s="4">
        <v>47878</v>
      </c>
      <c r="AM70" s="4">
        <v>50544</v>
      </c>
      <c r="AN70" s="4">
        <v>52855</v>
      </c>
      <c r="AO70" s="4">
        <v>55680</v>
      </c>
      <c r="AP70" s="4">
        <v>58430</v>
      </c>
      <c r="AQ70" s="4">
        <v>60661</v>
      </c>
      <c r="AR70" s="4">
        <v>63929</v>
      </c>
      <c r="AS70" s="4">
        <v>68260</v>
      </c>
      <c r="AT70" s="4">
        <v>73070</v>
      </c>
      <c r="AU70" s="4">
        <v>80235</v>
      </c>
      <c r="AV70" s="4">
        <v>83089</v>
      </c>
      <c r="AW70" s="4">
        <v>83555</v>
      </c>
      <c r="AX70" s="4">
        <v>85421</v>
      </c>
      <c r="AY70" s="4">
        <v>87392</v>
      </c>
      <c r="AZ70" s="4">
        <v>89150</v>
      </c>
      <c r="BA70" s="4">
        <v>91411</v>
      </c>
      <c r="BB70" s="4">
        <v>93006</v>
      </c>
      <c r="BC70" s="4">
        <v>95643</v>
      </c>
      <c r="BD70" s="4">
        <v>98596</v>
      </c>
      <c r="BE70" s="4">
        <v>100890</v>
      </c>
      <c r="BF70" s="4">
        <v>103717</v>
      </c>
      <c r="BG70" s="4">
        <v>114014</v>
      </c>
      <c r="BH70" s="4">
        <v>116846</v>
      </c>
      <c r="BI70" s="4">
        <v>117954</v>
      </c>
      <c r="BJ70" s="4">
        <v>123903</v>
      </c>
    </row>
    <row r="71" spans="2:62" ht="16" x14ac:dyDescent="0.2">
      <c r="B71" s="6" t="s">
        <v>108</v>
      </c>
      <c r="C71" s="3" t="s">
        <v>99</v>
      </c>
      <c r="D71" s="4">
        <v>1819</v>
      </c>
      <c r="E71" s="4">
        <v>2126</v>
      </c>
      <c r="F71" s="4">
        <v>2448</v>
      </c>
      <c r="G71" s="4">
        <v>2868</v>
      </c>
      <c r="H71" s="4">
        <v>3415</v>
      </c>
      <c r="I71" s="4">
        <v>3977</v>
      </c>
      <c r="J71" s="4">
        <v>4830</v>
      </c>
      <c r="K71" s="4">
        <v>6016</v>
      </c>
      <c r="L71" s="4">
        <v>7274</v>
      </c>
      <c r="M71" s="4">
        <v>8451</v>
      </c>
      <c r="N71" s="4">
        <v>9953</v>
      </c>
      <c r="O71" s="4">
        <v>11354</v>
      </c>
      <c r="P71" s="4">
        <v>13472</v>
      </c>
      <c r="Q71" s="4">
        <v>15778</v>
      </c>
      <c r="R71" s="4">
        <v>17993</v>
      </c>
      <c r="S71" s="4">
        <v>21056</v>
      </c>
      <c r="T71" s="4">
        <v>24673</v>
      </c>
      <c r="U71" s="4">
        <v>26685</v>
      </c>
      <c r="V71" s="4">
        <v>27989</v>
      </c>
      <c r="W71" s="4">
        <v>30314</v>
      </c>
      <c r="X71" s="4">
        <v>31916</v>
      </c>
      <c r="Y71" s="4">
        <v>35419</v>
      </c>
      <c r="Z71" s="4">
        <v>38131</v>
      </c>
      <c r="AA71" s="4">
        <v>40267</v>
      </c>
      <c r="AB71" s="4">
        <v>41264</v>
      </c>
      <c r="AC71" s="4">
        <v>42568</v>
      </c>
      <c r="AD71" s="4">
        <v>45109</v>
      </c>
      <c r="AE71" s="4">
        <v>47392</v>
      </c>
      <c r="AF71" s="4">
        <v>49667</v>
      </c>
      <c r="AG71" s="4">
        <v>51980</v>
      </c>
      <c r="AH71" s="4">
        <v>55375</v>
      </c>
      <c r="AI71" s="4">
        <v>58316</v>
      </c>
      <c r="AJ71" s="4">
        <v>62215</v>
      </c>
      <c r="AK71" s="4">
        <v>63972</v>
      </c>
      <c r="AL71" s="4">
        <v>66795</v>
      </c>
      <c r="AM71" s="4">
        <v>70554</v>
      </c>
      <c r="AN71" s="4">
        <v>73156</v>
      </c>
      <c r="AO71" s="4">
        <v>75380</v>
      </c>
      <c r="AP71" s="4">
        <v>77085</v>
      </c>
      <c r="AQ71" s="4">
        <v>78511</v>
      </c>
      <c r="AR71" s="4">
        <v>82824</v>
      </c>
      <c r="AS71" s="4">
        <v>83834</v>
      </c>
      <c r="AT71" s="4">
        <v>88015</v>
      </c>
      <c r="AU71" s="4">
        <v>93763</v>
      </c>
      <c r="AV71" s="4">
        <v>96569</v>
      </c>
      <c r="AW71" s="4">
        <v>94085</v>
      </c>
      <c r="AX71" s="4">
        <v>94778</v>
      </c>
      <c r="AY71" s="4">
        <v>96309</v>
      </c>
      <c r="AZ71" s="4">
        <v>95807</v>
      </c>
      <c r="BA71" s="4">
        <v>96256</v>
      </c>
      <c r="BB71" s="4">
        <v>96872</v>
      </c>
      <c r="BC71" s="4">
        <v>98806</v>
      </c>
      <c r="BD71" s="4">
        <v>101204</v>
      </c>
      <c r="BE71" s="4">
        <v>103654</v>
      </c>
      <c r="BF71" s="4">
        <v>105768</v>
      </c>
      <c r="BG71" s="4">
        <v>109379</v>
      </c>
      <c r="BH71" s="4">
        <v>113906</v>
      </c>
      <c r="BI71" s="4">
        <v>118308</v>
      </c>
      <c r="BJ71" s="4">
        <v>124653</v>
      </c>
    </row>
    <row r="72" spans="2:62" ht="16" x14ac:dyDescent="0.2">
      <c r="B72" s="6" t="s">
        <v>108</v>
      </c>
      <c r="C72" s="3" t="s">
        <v>100</v>
      </c>
      <c r="D72" s="4">
        <v>808</v>
      </c>
      <c r="E72" s="4">
        <v>908</v>
      </c>
      <c r="F72" s="4">
        <v>1000</v>
      </c>
      <c r="G72" s="4">
        <v>1118</v>
      </c>
      <c r="H72" s="4">
        <v>1272</v>
      </c>
      <c r="I72" s="4">
        <v>1454</v>
      </c>
      <c r="J72" s="4">
        <v>1608</v>
      </c>
      <c r="K72" s="4">
        <v>1834</v>
      </c>
      <c r="L72" s="4">
        <v>2167</v>
      </c>
      <c r="M72" s="4">
        <v>2542</v>
      </c>
      <c r="N72" s="4">
        <v>2874</v>
      </c>
      <c r="O72" s="4">
        <v>3293</v>
      </c>
      <c r="P72" s="4">
        <v>3649</v>
      </c>
      <c r="Q72" s="4">
        <v>4084</v>
      </c>
      <c r="R72" s="4">
        <v>4523</v>
      </c>
      <c r="S72" s="4">
        <v>5368</v>
      </c>
      <c r="T72" s="4">
        <v>5885</v>
      </c>
      <c r="U72" s="4">
        <v>6427</v>
      </c>
      <c r="V72" s="4">
        <v>7010</v>
      </c>
      <c r="W72" s="4">
        <v>7503</v>
      </c>
      <c r="X72" s="4">
        <v>7842</v>
      </c>
      <c r="Y72" s="4">
        <v>8389</v>
      </c>
      <c r="Z72" s="4">
        <v>9012</v>
      </c>
      <c r="AA72" s="4">
        <v>10303</v>
      </c>
      <c r="AB72" s="4">
        <v>11573</v>
      </c>
      <c r="AC72" s="4">
        <v>12217</v>
      </c>
      <c r="AD72" s="4">
        <v>12910</v>
      </c>
      <c r="AE72" s="4">
        <v>13005</v>
      </c>
      <c r="AF72" s="4">
        <v>13824</v>
      </c>
      <c r="AG72" s="4">
        <v>14257</v>
      </c>
      <c r="AH72" s="4">
        <v>14713</v>
      </c>
      <c r="AI72" s="4">
        <v>15052</v>
      </c>
      <c r="AJ72" s="4">
        <v>15697</v>
      </c>
      <c r="AK72" s="4">
        <v>16445</v>
      </c>
      <c r="AL72" s="4">
        <v>16874</v>
      </c>
      <c r="AM72" s="4">
        <v>18423</v>
      </c>
      <c r="AN72" s="4">
        <v>18620</v>
      </c>
      <c r="AO72" s="4">
        <v>18454</v>
      </c>
      <c r="AP72" s="4">
        <v>19219</v>
      </c>
      <c r="AQ72" s="4">
        <v>20023</v>
      </c>
      <c r="AR72" s="4">
        <v>21277</v>
      </c>
      <c r="AS72" s="4">
        <v>21473</v>
      </c>
      <c r="AT72" s="4">
        <v>23668</v>
      </c>
      <c r="AU72" s="4">
        <v>23519</v>
      </c>
      <c r="AV72" s="4">
        <v>23752</v>
      </c>
      <c r="AW72" s="4">
        <v>24717</v>
      </c>
      <c r="AX72" s="4">
        <v>25033</v>
      </c>
      <c r="AY72" s="4">
        <v>25747</v>
      </c>
      <c r="AZ72" s="4">
        <v>26372</v>
      </c>
      <c r="BA72" s="4">
        <v>26517</v>
      </c>
      <c r="BB72" s="4">
        <v>27335</v>
      </c>
      <c r="BC72" s="4">
        <v>28675</v>
      </c>
      <c r="BD72" s="4">
        <v>28480</v>
      </c>
      <c r="BE72" s="4">
        <v>29186</v>
      </c>
      <c r="BF72" s="4">
        <v>28372</v>
      </c>
      <c r="BG72" s="4">
        <v>28512</v>
      </c>
      <c r="BH72" s="4">
        <v>30403</v>
      </c>
      <c r="BI72" s="4">
        <v>34724</v>
      </c>
      <c r="BJ72" s="4">
        <v>37547</v>
      </c>
    </row>
    <row r="73" spans="2:62" x14ac:dyDescent="0.2">
      <c r="B73" s="3" t="s">
        <v>103</v>
      </c>
      <c r="C73" s="3" t="s">
        <v>63</v>
      </c>
      <c r="D73" s="4">
        <v>40777</v>
      </c>
      <c r="E73" s="4">
        <v>45385</v>
      </c>
      <c r="F73" s="4">
        <v>50493</v>
      </c>
      <c r="G73" s="4">
        <v>57580</v>
      </c>
      <c r="H73" s="4">
        <v>65214</v>
      </c>
      <c r="I73" s="4">
        <v>73729</v>
      </c>
      <c r="J73" s="4">
        <v>81826</v>
      </c>
      <c r="K73" s="4">
        <v>93844</v>
      </c>
      <c r="L73" s="4">
        <v>110260</v>
      </c>
      <c r="M73" s="4">
        <v>123924</v>
      </c>
      <c r="N73" s="4">
        <v>141806</v>
      </c>
      <c r="O73" s="4">
        <v>156923</v>
      </c>
      <c r="P73" s="4">
        <v>173968</v>
      </c>
      <c r="Q73" s="4">
        <v>194401</v>
      </c>
      <c r="R73" s="4">
        <v>214133</v>
      </c>
      <c r="S73" s="4">
        <v>231240</v>
      </c>
      <c r="T73" s="4">
        <v>262223</v>
      </c>
      <c r="U73" s="4">
        <v>286629</v>
      </c>
      <c r="V73" s="4">
        <v>309378</v>
      </c>
      <c r="W73" s="4">
        <v>334541</v>
      </c>
      <c r="X73" s="4">
        <v>360702</v>
      </c>
      <c r="Y73" s="4">
        <v>393322</v>
      </c>
      <c r="Z73" s="4">
        <v>414491</v>
      </c>
      <c r="AA73" s="4">
        <v>432128</v>
      </c>
      <c r="AB73" s="4">
        <v>450271</v>
      </c>
      <c r="AC73" s="4">
        <v>464902</v>
      </c>
      <c r="AD73" s="4">
        <v>478117</v>
      </c>
      <c r="AE73" s="4">
        <v>480818</v>
      </c>
      <c r="AF73" s="4">
        <v>496432</v>
      </c>
      <c r="AG73" s="4">
        <v>518701</v>
      </c>
      <c r="AH73" s="4">
        <v>546123</v>
      </c>
      <c r="AI73" s="4">
        <v>572747</v>
      </c>
      <c r="AJ73" s="4">
        <v>605624</v>
      </c>
      <c r="AK73" s="4">
        <v>635828</v>
      </c>
      <c r="AL73" s="4">
        <v>662275</v>
      </c>
      <c r="AM73" s="4">
        <v>696895</v>
      </c>
      <c r="AN73" s="4">
        <v>722152</v>
      </c>
      <c r="AO73" s="4">
        <v>741092</v>
      </c>
      <c r="AP73" s="4">
        <v>762992</v>
      </c>
      <c r="AQ73" s="4">
        <v>800004</v>
      </c>
      <c r="AR73" s="4">
        <v>847816</v>
      </c>
      <c r="AS73" s="4">
        <v>901734</v>
      </c>
      <c r="AT73" s="4">
        <v>950136</v>
      </c>
      <c r="AU73" s="4">
        <v>945958</v>
      </c>
      <c r="AV73" s="4">
        <v>953935</v>
      </c>
      <c r="AW73" s="4">
        <v>966820</v>
      </c>
      <c r="AX73" s="4">
        <v>977525</v>
      </c>
      <c r="AY73" s="4">
        <v>994228</v>
      </c>
      <c r="AZ73" s="4">
        <v>1015402</v>
      </c>
      <c r="BA73" s="4">
        <v>1046869</v>
      </c>
      <c r="BB73" s="4">
        <v>1081186</v>
      </c>
      <c r="BC73" s="4">
        <v>1116352</v>
      </c>
      <c r="BD73" s="4">
        <v>1154645</v>
      </c>
      <c r="BE73" s="4">
        <v>1193492</v>
      </c>
      <c r="BF73" s="4">
        <v>1210390</v>
      </c>
      <c r="BG73" s="4">
        <v>1278353</v>
      </c>
      <c r="BH73" s="4">
        <v>1366722</v>
      </c>
      <c r="BI73" s="4">
        <v>1431100</v>
      </c>
      <c r="BJ73" s="4">
        <v>1504820</v>
      </c>
    </row>
    <row r="74" spans="2:62" x14ac:dyDescent="0.2">
      <c r="C74" s="3" t="s">
        <v>64</v>
      </c>
      <c r="D74" s="4">
        <v>9251</v>
      </c>
      <c r="E74" s="4">
        <v>10807</v>
      </c>
      <c r="F74" s="4">
        <v>12450</v>
      </c>
      <c r="G74" s="4">
        <v>14666</v>
      </c>
      <c r="H74" s="4">
        <v>17542</v>
      </c>
      <c r="I74" s="4">
        <v>21105</v>
      </c>
      <c r="J74" s="4">
        <v>24158</v>
      </c>
      <c r="K74" s="4">
        <v>27643</v>
      </c>
      <c r="L74" s="4">
        <v>33180</v>
      </c>
      <c r="M74" s="4">
        <v>38878</v>
      </c>
      <c r="N74" s="4">
        <v>44535</v>
      </c>
      <c r="O74" s="4">
        <v>49478</v>
      </c>
      <c r="P74" s="4">
        <v>55657</v>
      </c>
      <c r="Q74" s="4">
        <v>62656</v>
      </c>
      <c r="R74" s="4">
        <v>70540</v>
      </c>
      <c r="S74" s="4">
        <v>80116</v>
      </c>
      <c r="T74" s="4">
        <v>93660</v>
      </c>
      <c r="U74" s="4">
        <v>100827</v>
      </c>
      <c r="V74" s="4">
        <v>104047</v>
      </c>
      <c r="W74" s="4">
        <v>109316</v>
      </c>
      <c r="X74" s="4">
        <v>113219</v>
      </c>
      <c r="Y74" s="4">
        <v>124064</v>
      </c>
      <c r="Z74" s="4">
        <v>134867</v>
      </c>
      <c r="AA74" s="4">
        <v>140322</v>
      </c>
      <c r="AB74" s="4">
        <v>142810</v>
      </c>
      <c r="AC74" s="4">
        <v>148359</v>
      </c>
      <c r="AD74" s="4">
        <v>153238</v>
      </c>
      <c r="AE74" s="4">
        <v>158299</v>
      </c>
      <c r="AF74" s="4">
        <v>162880</v>
      </c>
      <c r="AG74" s="4">
        <v>166571</v>
      </c>
      <c r="AH74" s="4">
        <v>174517</v>
      </c>
      <c r="AI74" s="4">
        <v>180769</v>
      </c>
      <c r="AJ74" s="4">
        <v>190214</v>
      </c>
      <c r="AK74" s="4">
        <v>199667</v>
      </c>
      <c r="AL74" s="4">
        <v>205935</v>
      </c>
      <c r="AM74" s="4">
        <v>216026</v>
      </c>
      <c r="AN74" s="4">
        <v>226161</v>
      </c>
      <c r="AO74" s="4">
        <v>234043</v>
      </c>
      <c r="AP74" s="4">
        <v>242274</v>
      </c>
      <c r="AQ74" s="4">
        <v>248254</v>
      </c>
      <c r="AR74" s="4">
        <v>258887</v>
      </c>
      <c r="AS74" s="4">
        <v>266813</v>
      </c>
      <c r="AT74" s="4">
        <v>281014</v>
      </c>
      <c r="AU74" s="4">
        <v>301586</v>
      </c>
      <c r="AV74" s="4">
        <v>313227</v>
      </c>
      <c r="AW74" s="4">
        <v>310242</v>
      </c>
      <c r="AX74" s="4">
        <v>314683</v>
      </c>
      <c r="AY74" s="4">
        <v>316870</v>
      </c>
      <c r="AZ74" s="4">
        <v>321673</v>
      </c>
      <c r="BA74" s="4">
        <v>325579</v>
      </c>
      <c r="BB74" s="4">
        <v>327343</v>
      </c>
      <c r="BC74" s="4">
        <v>332679</v>
      </c>
      <c r="BD74" s="4">
        <v>340519</v>
      </c>
      <c r="BE74" s="4">
        <v>348599</v>
      </c>
      <c r="BF74" s="4">
        <v>356477</v>
      </c>
      <c r="BG74" s="4">
        <v>373688</v>
      </c>
      <c r="BH74" s="4">
        <v>385992</v>
      </c>
      <c r="BI74" s="4">
        <v>397062</v>
      </c>
      <c r="BJ74" s="4">
        <v>418406</v>
      </c>
    </row>
    <row r="75" spans="2:62" ht="16" x14ac:dyDescent="0.2">
      <c r="B75" s="6" t="s">
        <v>108</v>
      </c>
      <c r="C75" s="3" t="s">
        <v>65</v>
      </c>
      <c r="D75" s="4">
        <v>1082</v>
      </c>
      <c r="E75" s="4">
        <v>1097</v>
      </c>
      <c r="F75" s="4">
        <v>1097</v>
      </c>
      <c r="G75" s="4">
        <v>1112</v>
      </c>
      <c r="H75" s="4">
        <v>1042</v>
      </c>
      <c r="I75" s="4">
        <v>1153</v>
      </c>
      <c r="J75" s="4">
        <v>1191</v>
      </c>
      <c r="K75" s="4">
        <v>1332</v>
      </c>
      <c r="L75" s="4">
        <v>1594</v>
      </c>
      <c r="M75" s="4">
        <v>1816</v>
      </c>
      <c r="N75" s="4">
        <v>2116</v>
      </c>
      <c r="O75" s="4">
        <v>2301</v>
      </c>
      <c r="P75" s="4">
        <v>2493</v>
      </c>
      <c r="Q75" s="4">
        <v>2760</v>
      </c>
      <c r="R75" s="4">
        <v>3045</v>
      </c>
      <c r="S75" s="4">
        <v>3306</v>
      </c>
      <c r="T75" s="4">
        <v>3807</v>
      </c>
      <c r="U75" s="4">
        <v>4315</v>
      </c>
      <c r="V75" s="4">
        <v>4661</v>
      </c>
      <c r="W75" s="4">
        <v>5019</v>
      </c>
      <c r="X75" s="4">
        <v>5288</v>
      </c>
      <c r="Y75" s="4">
        <v>5727</v>
      </c>
      <c r="Z75" s="4">
        <v>5631</v>
      </c>
      <c r="AA75" s="4">
        <v>5861</v>
      </c>
      <c r="AB75" s="4">
        <v>5794</v>
      </c>
      <c r="AC75" s="4">
        <v>6082</v>
      </c>
      <c r="AD75" s="4">
        <v>6143</v>
      </c>
      <c r="AE75" s="4">
        <v>5803</v>
      </c>
      <c r="AF75" s="4">
        <v>5753</v>
      </c>
      <c r="AG75" s="4">
        <v>5944</v>
      </c>
      <c r="AH75" s="4">
        <v>5987</v>
      </c>
      <c r="AI75" s="4">
        <v>6410</v>
      </c>
      <c r="AJ75" s="4">
        <v>6532</v>
      </c>
      <c r="AK75" s="4">
        <v>6384</v>
      </c>
      <c r="AL75" s="4">
        <v>6638</v>
      </c>
      <c r="AM75" s="4">
        <v>6794</v>
      </c>
      <c r="AN75" s="4">
        <v>7044</v>
      </c>
      <c r="AO75" s="4">
        <v>7142</v>
      </c>
      <c r="AP75" s="4">
        <v>7225</v>
      </c>
      <c r="AQ75" s="4">
        <v>7294</v>
      </c>
      <c r="AR75" s="4">
        <v>7280</v>
      </c>
      <c r="AS75" s="4">
        <v>7624</v>
      </c>
      <c r="AT75" s="4">
        <v>8173</v>
      </c>
      <c r="AU75" s="4">
        <v>8200</v>
      </c>
      <c r="AV75" s="4">
        <v>8786</v>
      </c>
      <c r="AW75" s="4">
        <v>8656</v>
      </c>
      <c r="AX75" s="4">
        <v>8779</v>
      </c>
      <c r="AY75" s="4">
        <v>8957</v>
      </c>
      <c r="AZ75" s="4">
        <v>9531</v>
      </c>
      <c r="BA75" s="4">
        <v>10359</v>
      </c>
      <c r="BB75" s="4">
        <v>10632</v>
      </c>
      <c r="BC75" s="4">
        <v>11247</v>
      </c>
      <c r="BD75" s="4">
        <v>11573</v>
      </c>
      <c r="BE75" s="4">
        <v>11798</v>
      </c>
      <c r="BF75" s="4">
        <v>12431</v>
      </c>
      <c r="BG75" s="4">
        <v>12036</v>
      </c>
      <c r="BH75" s="4">
        <v>12743</v>
      </c>
      <c r="BI75" s="4">
        <v>13854</v>
      </c>
      <c r="BJ75" s="4">
        <v>14413</v>
      </c>
    </row>
    <row r="76" spans="2:62" ht="16" x14ac:dyDescent="0.2">
      <c r="B76" s="6" t="s">
        <v>110</v>
      </c>
      <c r="C76" s="3" t="s">
        <v>66</v>
      </c>
      <c r="D76" s="4">
        <v>103</v>
      </c>
      <c r="E76" s="4">
        <v>145</v>
      </c>
      <c r="F76" s="4">
        <v>145</v>
      </c>
      <c r="G76" s="4">
        <v>144</v>
      </c>
      <c r="H76" s="4">
        <v>141</v>
      </c>
      <c r="I76" s="4">
        <v>162</v>
      </c>
      <c r="J76" s="4">
        <v>185</v>
      </c>
      <c r="K76" s="4">
        <v>205</v>
      </c>
      <c r="L76" s="4">
        <v>214</v>
      </c>
      <c r="M76" s="4">
        <v>218</v>
      </c>
      <c r="N76" s="4">
        <v>251</v>
      </c>
      <c r="O76" s="4">
        <v>285</v>
      </c>
      <c r="P76" s="4">
        <v>351</v>
      </c>
      <c r="Q76" s="4">
        <v>439</v>
      </c>
      <c r="R76" s="4">
        <v>550</v>
      </c>
      <c r="S76" s="4">
        <v>771</v>
      </c>
      <c r="T76" s="4">
        <v>900</v>
      </c>
      <c r="U76" s="4">
        <v>898</v>
      </c>
      <c r="V76" s="4">
        <v>1104</v>
      </c>
      <c r="W76" s="4">
        <v>1098</v>
      </c>
      <c r="X76" s="4">
        <v>1182</v>
      </c>
      <c r="Y76" s="4">
        <v>1251</v>
      </c>
      <c r="Z76" s="4">
        <v>1260</v>
      </c>
      <c r="AA76" s="4">
        <v>1137</v>
      </c>
      <c r="AB76" s="4">
        <v>1126</v>
      </c>
      <c r="AC76" s="4">
        <v>1195</v>
      </c>
      <c r="AD76" s="4">
        <v>1215</v>
      </c>
      <c r="AE76" s="4">
        <v>1195</v>
      </c>
      <c r="AF76" s="4">
        <v>1308</v>
      </c>
      <c r="AG76" s="4">
        <v>1393</v>
      </c>
      <c r="AH76" s="4">
        <v>1427</v>
      </c>
      <c r="AI76" s="4">
        <v>1486</v>
      </c>
      <c r="AJ76" s="4">
        <v>1423</v>
      </c>
      <c r="AK76" s="4">
        <v>1593</v>
      </c>
      <c r="AL76" s="4">
        <v>1713</v>
      </c>
      <c r="AM76" s="4">
        <v>1785</v>
      </c>
      <c r="AN76" s="4">
        <v>1721</v>
      </c>
      <c r="AO76" s="4">
        <v>1872</v>
      </c>
      <c r="AP76" s="4">
        <v>1760</v>
      </c>
      <c r="AQ76" s="4">
        <v>1865</v>
      </c>
      <c r="AR76" s="4">
        <v>2055</v>
      </c>
      <c r="AS76" s="4">
        <v>2329</v>
      </c>
      <c r="AT76" s="4">
        <v>2592</v>
      </c>
      <c r="AU76" s="4">
        <v>3007</v>
      </c>
      <c r="AV76" s="4">
        <v>3170</v>
      </c>
      <c r="AW76" s="4">
        <v>3600</v>
      </c>
      <c r="AX76" s="4">
        <v>4089</v>
      </c>
      <c r="AY76" s="4">
        <v>3588</v>
      </c>
      <c r="AZ76" s="4">
        <v>3409</v>
      </c>
      <c r="BA76" s="4">
        <v>3462</v>
      </c>
      <c r="BB76" s="4">
        <v>4037</v>
      </c>
      <c r="BC76" s="4">
        <v>4210</v>
      </c>
      <c r="BD76" s="4">
        <v>4645</v>
      </c>
      <c r="BE76" s="4">
        <v>4263</v>
      </c>
      <c r="BF76" s="4">
        <v>4158</v>
      </c>
      <c r="BG76" s="4">
        <v>3601</v>
      </c>
      <c r="BH76" s="4">
        <v>3955</v>
      </c>
      <c r="BI76" s="4">
        <v>3997</v>
      </c>
      <c r="BJ76" s="4">
        <v>4062</v>
      </c>
    </row>
    <row r="77" spans="2:62" ht="16" x14ac:dyDescent="0.2">
      <c r="B77" s="6" t="s">
        <v>108</v>
      </c>
      <c r="C77" s="3" t="s">
        <v>67</v>
      </c>
      <c r="D77" s="4">
        <v>2255</v>
      </c>
      <c r="E77" s="4">
        <v>2402</v>
      </c>
      <c r="F77" s="4">
        <v>2544</v>
      </c>
      <c r="G77" s="4">
        <v>2767</v>
      </c>
      <c r="H77" s="4">
        <v>3113</v>
      </c>
      <c r="I77" s="4">
        <v>3504</v>
      </c>
      <c r="J77" s="4">
        <v>3838</v>
      </c>
      <c r="K77" s="4">
        <v>4448</v>
      </c>
      <c r="L77" s="4">
        <v>5233</v>
      </c>
      <c r="M77" s="4">
        <v>5725</v>
      </c>
      <c r="N77" s="4">
        <v>6297</v>
      </c>
      <c r="O77" s="4">
        <v>6917</v>
      </c>
      <c r="P77" s="4">
        <v>7549</v>
      </c>
      <c r="Q77" s="4">
        <v>8430</v>
      </c>
      <c r="R77" s="4">
        <v>9126</v>
      </c>
      <c r="S77" s="4">
        <v>10011</v>
      </c>
      <c r="T77" s="4">
        <v>10930</v>
      </c>
      <c r="U77" s="4">
        <v>11972</v>
      </c>
      <c r="V77" s="4">
        <v>12789</v>
      </c>
      <c r="W77" s="4">
        <v>13304</v>
      </c>
      <c r="X77" s="4">
        <v>14289</v>
      </c>
      <c r="Y77" s="4">
        <v>15244</v>
      </c>
      <c r="Z77" s="4">
        <v>15851</v>
      </c>
      <c r="AA77" s="4">
        <v>15979</v>
      </c>
      <c r="AB77" s="4">
        <v>16503</v>
      </c>
      <c r="AC77" s="4">
        <v>17014</v>
      </c>
      <c r="AD77" s="4">
        <v>17245</v>
      </c>
      <c r="AE77" s="4">
        <v>17127</v>
      </c>
      <c r="AF77" s="4">
        <v>17251</v>
      </c>
      <c r="AG77" s="4">
        <v>17683</v>
      </c>
      <c r="AH77" s="4">
        <v>17856</v>
      </c>
      <c r="AI77" s="4">
        <v>18062</v>
      </c>
      <c r="AJ77" s="4">
        <v>18824</v>
      </c>
      <c r="AK77" s="4">
        <v>18891</v>
      </c>
      <c r="AL77" s="4">
        <v>19589</v>
      </c>
      <c r="AM77" s="4">
        <v>20309</v>
      </c>
      <c r="AN77" s="4">
        <v>21264</v>
      </c>
      <c r="AO77" s="4">
        <v>21474</v>
      </c>
      <c r="AP77" s="4">
        <v>21369</v>
      </c>
      <c r="AQ77" s="4">
        <v>20933</v>
      </c>
      <c r="AR77" s="4">
        <v>21032</v>
      </c>
      <c r="AS77" s="4">
        <v>21316</v>
      </c>
      <c r="AT77" s="4">
        <v>21729</v>
      </c>
      <c r="AU77" s="4">
        <v>20676</v>
      </c>
      <c r="AV77" s="4">
        <v>20426</v>
      </c>
      <c r="AW77" s="4">
        <v>19645</v>
      </c>
      <c r="AX77" s="4">
        <v>19207</v>
      </c>
      <c r="AY77" s="4">
        <v>18798</v>
      </c>
      <c r="AZ77" s="4">
        <v>17923</v>
      </c>
      <c r="BA77" s="4">
        <v>17619</v>
      </c>
      <c r="BB77" s="4">
        <v>18944</v>
      </c>
      <c r="BC77" s="4">
        <v>19723</v>
      </c>
      <c r="BD77" s="4">
        <v>19845</v>
      </c>
      <c r="BE77" s="4">
        <v>20401</v>
      </c>
      <c r="BF77" s="4">
        <v>21707</v>
      </c>
      <c r="BG77" s="4">
        <v>22526</v>
      </c>
      <c r="BH77" s="4">
        <v>22937</v>
      </c>
      <c r="BI77" s="4">
        <v>23604</v>
      </c>
      <c r="BJ77" s="4">
        <v>25474</v>
      </c>
    </row>
    <row r="78" spans="2:62" ht="16" x14ac:dyDescent="0.2">
      <c r="B78" s="6" t="s">
        <v>110</v>
      </c>
      <c r="C78" s="3" t="s">
        <v>68</v>
      </c>
      <c r="D78" s="4">
        <v>1155</v>
      </c>
      <c r="E78" s="4">
        <v>1187</v>
      </c>
      <c r="F78" s="4">
        <v>1242</v>
      </c>
      <c r="G78" s="4">
        <v>1368</v>
      </c>
      <c r="H78" s="4">
        <v>1422</v>
      </c>
      <c r="I78" s="4">
        <v>1465</v>
      </c>
      <c r="J78" s="4">
        <v>1649</v>
      </c>
      <c r="K78" s="4">
        <v>1830</v>
      </c>
      <c r="L78" s="4">
        <v>1925</v>
      </c>
      <c r="M78" s="4">
        <v>2061</v>
      </c>
      <c r="N78" s="4">
        <v>2435</v>
      </c>
      <c r="O78" s="4">
        <v>2497</v>
      </c>
      <c r="P78" s="4">
        <v>2449</v>
      </c>
      <c r="Q78" s="4">
        <v>2686</v>
      </c>
      <c r="R78" s="4">
        <v>2762</v>
      </c>
      <c r="S78" s="4">
        <v>2905</v>
      </c>
      <c r="T78" s="4">
        <v>3338</v>
      </c>
      <c r="U78" s="4">
        <v>3558</v>
      </c>
      <c r="V78" s="4">
        <v>4052</v>
      </c>
      <c r="W78" s="4">
        <v>4381</v>
      </c>
      <c r="X78" s="4">
        <v>4615</v>
      </c>
      <c r="Y78" s="4">
        <v>4686</v>
      </c>
      <c r="Z78" s="4">
        <v>4324</v>
      </c>
      <c r="AA78" s="4">
        <v>4264</v>
      </c>
      <c r="AB78" s="4">
        <v>4243</v>
      </c>
      <c r="AC78" s="4">
        <v>4197</v>
      </c>
      <c r="AD78" s="4">
        <v>4251</v>
      </c>
      <c r="AE78" s="4">
        <v>4039</v>
      </c>
      <c r="AF78" s="4">
        <v>3831</v>
      </c>
      <c r="AG78" s="4">
        <v>3714</v>
      </c>
      <c r="AH78" s="4">
        <v>3452</v>
      </c>
      <c r="AI78" s="4">
        <v>3368</v>
      </c>
      <c r="AJ78" s="4">
        <v>3346</v>
      </c>
      <c r="AK78" s="4">
        <v>3294</v>
      </c>
      <c r="AL78" s="4">
        <v>3240</v>
      </c>
      <c r="AM78" s="4">
        <v>3222</v>
      </c>
      <c r="AN78" s="4">
        <v>2918</v>
      </c>
      <c r="AO78" s="4">
        <v>2812</v>
      </c>
      <c r="AP78" s="4">
        <v>2637</v>
      </c>
      <c r="AQ78" s="4">
        <v>2579</v>
      </c>
      <c r="AR78" s="4">
        <v>2478</v>
      </c>
      <c r="AS78" s="4">
        <v>2452</v>
      </c>
      <c r="AT78" s="4">
        <v>2404</v>
      </c>
      <c r="AU78" s="4">
        <v>2021</v>
      </c>
      <c r="AV78" s="4">
        <v>1854</v>
      </c>
      <c r="AW78" s="4">
        <v>1862</v>
      </c>
      <c r="AX78" s="4">
        <v>1647</v>
      </c>
      <c r="AY78" s="4">
        <v>1798</v>
      </c>
      <c r="AZ78" s="4">
        <v>1824</v>
      </c>
      <c r="BA78" s="4">
        <v>1796</v>
      </c>
      <c r="BB78" s="4">
        <v>1873</v>
      </c>
      <c r="BC78" s="4">
        <v>2025</v>
      </c>
      <c r="BD78" s="4">
        <v>2086</v>
      </c>
      <c r="BE78" s="4">
        <v>2055</v>
      </c>
      <c r="BF78" s="4">
        <v>2043</v>
      </c>
      <c r="BG78" s="4">
        <v>2095</v>
      </c>
      <c r="BH78" s="4">
        <v>2163</v>
      </c>
      <c r="BI78" s="4">
        <v>2196</v>
      </c>
      <c r="BJ78" s="4">
        <v>2302</v>
      </c>
    </row>
    <row r="79" spans="2:62" ht="16" x14ac:dyDescent="0.2">
      <c r="B79" s="6" t="s">
        <v>108</v>
      </c>
      <c r="C79" s="3" t="s">
        <v>69</v>
      </c>
      <c r="D79" s="4">
        <v>1020</v>
      </c>
      <c r="E79" s="4">
        <v>1073</v>
      </c>
      <c r="F79" s="4">
        <v>1201</v>
      </c>
      <c r="G79" s="4">
        <v>1341</v>
      </c>
      <c r="H79" s="4">
        <v>1515</v>
      </c>
      <c r="I79" s="4">
        <v>1661</v>
      </c>
      <c r="J79" s="4">
        <v>1813</v>
      </c>
      <c r="K79" s="4">
        <v>2043</v>
      </c>
      <c r="L79" s="4">
        <v>2493</v>
      </c>
      <c r="M79" s="4">
        <v>2459</v>
      </c>
      <c r="N79" s="4">
        <v>2817</v>
      </c>
      <c r="O79" s="4">
        <v>3100</v>
      </c>
      <c r="P79" s="4">
        <v>3430</v>
      </c>
      <c r="Q79" s="4">
        <v>4001</v>
      </c>
      <c r="R79" s="4">
        <v>4323</v>
      </c>
      <c r="S79" s="4">
        <v>4547</v>
      </c>
      <c r="T79" s="4">
        <v>4890</v>
      </c>
      <c r="U79" s="4">
        <v>5373</v>
      </c>
      <c r="V79" s="4">
        <v>6152</v>
      </c>
      <c r="W79" s="4">
        <v>6574</v>
      </c>
      <c r="X79" s="4">
        <v>7337</v>
      </c>
      <c r="Y79" s="4">
        <v>7977</v>
      </c>
      <c r="Z79" s="4">
        <v>8413</v>
      </c>
      <c r="AA79" s="4">
        <v>8658</v>
      </c>
      <c r="AB79" s="4">
        <v>9033</v>
      </c>
      <c r="AC79" s="4">
        <v>9166</v>
      </c>
      <c r="AD79" s="4">
        <v>9164</v>
      </c>
      <c r="AE79" s="4">
        <v>8982</v>
      </c>
      <c r="AF79" s="4">
        <v>9233</v>
      </c>
      <c r="AG79" s="4">
        <v>9507</v>
      </c>
      <c r="AH79" s="4">
        <v>10080</v>
      </c>
      <c r="AI79" s="4">
        <v>10498</v>
      </c>
      <c r="AJ79" s="4">
        <v>10928</v>
      </c>
      <c r="AK79" s="4">
        <v>11020</v>
      </c>
      <c r="AL79" s="4">
        <v>11149</v>
      </c>
      <c r="AM79" s="4">
        <v>11086</v>
      </c>
      <c r="AN79" s="4">
        <v>10784</v>
      </c>
      <c r="AO79" s="4">
        <v>10669</v>
      </c>
      <c r="AP79" s="4">
        <v>10570</v>
      </c>
      <c r="AQ79" s="4">
        <v>10713</v>
      </c>
      <c r="AR79" s="4">
        <v>11137</v>
      </c>
      <c r="AS79" s="4">
        <v>11411</v>
      </c>
      <c r="AT79" s="4">
        <v>11300</v>
      </c>
      <c r="AU79" s="4">
        <v>9595</v>
      </c>
      <c r="AV79" s="4">
        <v>8647</v>
      </c>
      <c r="AW79" s="4">
        <v>8226</v>
      </c>
      <c r="AX79" s="4">
        <v>7961</v>
      </c>
      <c r="AY79" s="4">
        <v>7556</v>
      </c>
      <c r="AZ79" s="4">
        <v>7709</v>
      </c>
      <c r="BA79" s="4">
        <v>7681</v>
      </c>
      <c r="BB79" s="4">
        <v>7586</v>
      </c>
      <c r="BC79" s="4">
        <v>7842</v>
      </c>
      <c r="BD79" s="4">
        <v>7992</v>
      </c>
      <c r="BE79" s="4">
        <v>7906</v>
      </c>
      <c r="BF79" s="4">
        <v>7803</v>
      </c>
      <c r="BG79" s="4">
        <v>7902</v>
      </c>
      <c r="BH79" s="4">
        <v>8099</v>
      </c>
      <c r="BI79" s="4">
        <v>7899</v>
      </c>
      <c r="BJ79" s="4">
        <v>8050</v>
      </c>
    </row>
    <row r="80" spans="2:62" ht="16" x14ac:dyDescent="0.2">
      <c r="B80" s="6" t="s">
        <v>108</v>
      </c>
      <c r="C80" s="3" t="s">
        <v>70</v>
      </c>
      <c r="D80" s="4">
        <v>39</v>
      </c>
      <c r="E80" s="4">
        <v>43</v>
      </c>
      <c r="F80" s="4">
        <v>48</v>
      </c>
      <c r="G80" s="4">
        <v>50</v>
      </c>
      <c r="H80" s="4">
        <v>52</v>
      </c>
      <c r="I80" s="4">
        <v>57</v>
      </c>
      <c r="J80" s="4">
        <v>60</v>
      </c>
      <c r="K80" s="4">
        <v>55</v>
      </c>
      <c r="L80" s="4">
        <v>63</v>
      </c>
      <c r="M80" s="4">
        <v>68</v>
      </c>
      <c r="N80" s="4">
        <v>71</v>
      </c>
      <c r="O80" s="4">
        <v>76</v>
      </c>
      <c r="P80" s="4">
        <v>85</v>
      </c>
      <c r="Q80" s="4">
        <v>101</v>
      </c>
      <c r="R80" s="4">
        <v>128</v>
      </c>
      <c r="S80" s="4">
        <v>141</v>
      </c>
      <c r="T80" s="4">
        <v>154</v>
      </c>
      <c r="U80" s="4">
        <v>155</v>
      </c>
      <c r="V80" s="4">
        <v>172</v>
      </c>
      <c r="W80" s="4">
        <v>185</v>
      </c>
      <c r="X80" s="4">
        <v>191</v>
      </c>
      <c r="Y80" s="4">
        <v>213</v>
      </c>
      <c r="Z80" s="4">
        <v>330</v>
      </c>
      <c r="AA80" s="4">
        <v>354</v>
      </c>
      <c r="AB80" s="4">
        <v>381</v>
      </c>
      <c r="AC80" s="4">
        <v>377</v>
      </c>
      <c r="AD80" s="4">
        <v>413</v>
      </c>
      <c r="AE80" s="4">
        <v>328</v>
      </c>
      <c r="AF80" s="4">
        <v>333</v>
      </c>
      <c r="AG80" s="4">
        <v>382</v>
      </c>
      <c r="AH80" s="4">
        <v>383</v>
      </c>
      <c r="AI80" s="4">
        <v>431</v>
      </c>
      <c r="AJ80" s="4">
        <v>374</v>
      </c>
      <c r="AK80" s="4">
        <v>363</v>
      </c>
      <c r="AL80" s="4">
        <v>340</v>
      </c>
      <c r="AM80" s="4">
        <v>373</v>
      </c>
      <c r="AN80" s="4">
        <v>408</v>
      </c>
      <c r="AO80" s="4">
        <v>404</v>
      </c>
      <c r="AP80" s="4">
        <v>406</v>
      </c>
      <c r="AQ80" s="4">
        <v>431</v>
      </c>
      <c r="AR80" s="4">
        <v>504</v>
      </c>
      <c r="AS80" s="4">
        <v>555</v>
      </c>
      <c r="AT80" s="4">
        <v>570</v>
      </c>
      <c r="AU80" s="4">
        <v>406</v>
      </c>
      <c r="AV80" s="4">
        <v>419</v>
      </c>
      <c r="AW80" s="4">
        <v>465</v>
      </c>
      <c r="AX80" s="4">
        <v>483</v>
      </c>
      <c r="AY80" s="4">
        <v>579</v>
      </c>
      <c r="AZ80" s="4">
        <v>533</v>
      </c>
      <c r="BA80" s="4">
        <v>439</v>
      </c>
      <c r="BB80" s="4">
        <v>540</v>
      </c>
      <c r="BC80" s="4">
        <v>501</v>
      </c>
      <c r="BD80" s="4">
        <v>524</v>
      </c>
      <c r="BE80" s="4">
        <v>520</v>
      </c>
      <c r="BF80" s="4">
        <v>529</v>
      </c>
      <c r="BG80" s="4">
        <v>521</v>
      </c>
      <c r="BH80" s="4">
        <v>605</v>
      </c>
      <c r="BI80" s="4">
        <v>643</v>
      </c>
      <c r="BJ80" s="4">
        <v>736</v>
      </c>
    </row>
    <row r="81" spans="2:62" ht="16" x14ac:dyDescent="0.2">
      <c r="B81" s="6" t="s">
        <v>110</v>
      </c>
      <c r="C81" s="3" t="s">
        <v>71</v>
      </c>
      <c r="D81" s="4">
        <v>384</v>
      </c>
      <c r="E81" s="4">
        <v>428</v>
      </c>
      <c r="F81" s="4">
        <v>464</v>
      </c>
      <c r="G81" s="4">
        <v>527</v>
      </c>
      <c r="H81" s="4">
        <v>593</v>
      </c>
      <c r="I81" s="4">
        <v>658</v>
      </c>
      <c r="J81" s="4">
        <v>686</v>
      </c>
      <c r="K81" s="4">
        <v>781</v>
      </c>
      <c r="L81" s="4">
        <v>969</v>
      </c>
      <c r="M81" s="4">
        <v>1073</v>
      </c>
      <c r="N81" s="4">
        <v>1142</v>
      </c>
      <c r="O81" s="4">
        <v>1256</v>
      </c>
      <c r="P81" s="4">
        <v>1390</v>
      </c>
      <c r="Q81" s="4">
        <v>1551</v>
      </c>
      <c r="R81" s="4">
        <v>1735</v>
      </c>
      <c r="S81" s="4">
        <v>1915</v>
      </c>
      <c r="T81" s="4">
        <v>2121</v>
      </c>
      <c r="U81" s="4">
        <v>2254</v>
      </c>
      <c r="V81" s="4">
        <v>2576</v>
      </c>
      <c r="W81" s="4">
        <v>2776</v>
      </c>
      <c r="X81" s="4">
        <v>2917</v>
      </c>
      <c r="Y81" s="4">
        <v>3204</v>
      </c>
      <c r="Z81" s="4">
        <v>3063</v>
      </c>
      <c r="AA81" s="4">
        <v>3193</v>
      </c>
      <c r="AB81" s="4">
        <v>3212</v>
      </c>
      <c r="AC81" s="4">
        <v>3363</v>
      </c>
      <c r="AD81" s="4">
        <v>3785</v>
      </c>
      <c r="AE81" s="4">
        <v>3644</v>
      </c>
      <c r="AF81" s="4">
        <v>3758</v>
      </c>
      <c r="AG81" s="4">
        <v>4027</v>
      </c>
      <c r="AH81" s="4">
        <v>4225</v>
      </c>
      <c r="AI81" s="4">
        <v>4097</v>
      </c>
      <c r="AJ81" s="4">
        <v>4094</v>
      </c>
      <c r="AK81" s="4">
        <v>4278</v>
      </c>
      <c r="AL81" s="4">
        <v>4445</v>
      </c>
      <c r="AM81" s="4">
        <v>4482</v>
      </c>
      <c r="AN81" s="4">
        <v>4428</v>
      </c>
      <c r="AO81" s="4">
        <v>4623</v>
      </c>
      <c r="AP81" s="4">
        <v>4603</v>
      </c>
      <c r="AQ81" s="4">
        <v>4835</v>
      </c>
      <c r="AR81" s="4">
        <v>4733</v>
      </c>
      <c r="AS81" s="4">
        <v>5670</v>
      </c>
      <c r="AT81" s="4">
        <v>6074</v>
      </c>
      <c r="AU81" s="4">
        <v>5606</v>
      </c>
      <c r="AV81" s="4">
        <v>5661</v>
      </c>
      <c r="AW81" s="4">
        <v>5729</v>
      </c>
      <c r="AX81" s="4">
        <v>5598</v>
      </c>
      <c r="AY81" s="4">
        <v>5763</v>
      </c>
      <c r="AZ81" s="4">
        <v>6040</v>
      </c>
      <c r="BA81" s="4">
        <v>6369</v>
      </c>
      <c r="BB81" s="4">
        <v>6457</v>
      </c>
      <c r="BC81" s="4">
        <v>6369</v>
      </c>
      <c r="BD81" s="4">
        <v>6529</v>
      </c>
      <c r="BE81" s="4">
        <v>6818</v>
      </c>
      <c r="BF81" s="4">
        <v>7070</v>
      </c>
      <c r="BG81" s="4">
        <v>7917</v>
      </c>
      <c r="BH81" s="4">
        <v>7696</v>
      </c>
      <c r="BI81" s="4">
        <v>7818</v>
      </c>
      <c r="BJ81" s="4">
        <v>8267</v>
      </c>
    </row>
    <row r="82" spans="2:62" ht="16" x14ac:dyDescent="0.2">
      <c r="B82" s="6" t="s">
        <v>110</v>
      </c>
      <c r="C82" s="3" t="s">
        <v>72</v>
      </c>
      <c r="D82" s="4">
        <v>109</v>
      </c>
      <c r="E82" s="4">
        <v>84</v>
      </c>
      <c r="F82" s="4">
        <v>99</v>
      </c>
      <c r="G82" s="4">
        <v>111</v>
      </c>
      <c r="H82" s="4">
        <v>122</v>
      </c>
      <c r="I82" s="4">
        <v>142</v>
      </c>
      <c r="J82" s="4">
        <v>222</v>
      </c>
      <c r="K82" s="4">
        <v>256</v>
      </c>
      <c r="L82" s="4">
        <v>318</v>
      </c>
      <c r="M82" s="4">
        <v>390</v>
      </c>
      <c r="N82" s="4">
        <v>420</v>
      </c>
      <c r="O82" s="4">
        <v>480</v>
      </c>
      <c r="P82" s="4">
        <v>563</v>
      </c>
      <c r="Q82" s="4">
        <v>650</v>
      </c>
      <c r="R82" s="4">
        <v>744</v>
      </c>
      <c r="S82" s="4">
        <v>880</v>
      </c>
      <c r="T82" s="4">
        <v>988</v>
      </c>
      <c r="U82" s="4">
        <v>1171</v>
      </c>
      <c r="V82" s="4">
        <v>1367</v>
      </c>
      <c r="W82" s="4">
        <v>1486</v>
      </c>
      <c r="X82" s="4">
        <v>1656</v>
      </c>
      <c r="Y82" s="4">
        <v>1906</v>
      </c>
      <c r="Z82" s="4">
        <v>2238</v>
      </c>
      <c r="AA82" s="4">
        <v>2461</v>
      </c>
      <c r="AB82" s="4">
        <v>2711</v>
      </c>
      <c r="AC82" s="4">
        <v>2848</v>
      </c>
      <c r="AD82" s="4">
        <v>2498</v>
      </c>
      <c r="AE82" s="4">
        <v>2715</v>
      </c>
      <c r="AF82" s="4">
        <v>3160</v>
      </c>
      <c r="AG82" s="4">
        <v>3480</v>
      </c>
      <c r="AH82" s="4">
        <v>3246</v>
      </c>
      <c r="AI82" s="4">
        <v>4161</v>
      </c>
      <c r="AJ82" s="4">
        <v>4427</v>
      </c>
      <c r="AK82" s="4">
        <v>4448</v>
      </c>
      <c r="AL82" s="4">
        <v>3946</v>
      </c>
      <c r="AM82" s="4">
        <v>5296</v>
      </c>
      <c r="AN82" s="4">
        <v>5717</v>
      </c>
      <c r="AO82" s="4">
        <v>6583</v>
      </c>
      <c r="AP82" s="4">
        <v>7073</v>
      </c>
      <c r="AQ82" s="4">
        <v>7731</v>
      </c>
      <c r="AR82" s="4">
        <v>7990</v>
      </c>
      <c r="AS82" s="4">
        <v>8585</v>
      </c>
      <c r="AT82" s="4">
        <v>9132</v>
      </c>
      <c r="AU82" s="4">
        <v>10158</v>
      </c>
      <c r="AV82" s="4">
        <v>10917</v>
      </c>
      <c r="AW82" s="4">
        <v>11627</v>
      </c>
      <c r="AX82" s="4">
        <v>12187</v>
      </c>
      <c r="AY82" s="4">
        <v>13132</v>
      </c>
      <c r="AZ82" s="4">
        <v>14725</v>
      </c>
      <c r="BA82" s="4">
        <v>16667</v>
      </c>
      <c r="BB82" s="4">
        <v>17806</v>
      </c>
      <c r="BC82" s="4">
        <v>18011</v>
      </c>
      <c r="BD82" s="4">
        <v>18405</v>
      </c>
      <c r="BE82" s="4">
        <v>17988</v>
      </c>
      <c r="BF82" s="4">
        <v>18802</v>
      </c>
      <c r="BG82" s="4">
        <v>20871</v>
      </c>
      <c r="BH82" s="4">
        <v>23510</v>
      </c>
      <c r="BI82" s="4">
        <v>28675</v>
      </c>
      <c r="BJ82" s="4">
        <v>35438</v>
      </c>
    </row>
    <row r="83" spans="2:62" ht="16" x14ac:dyDescent="0.2">
      <c r="B83" s="6" t="s">
        <v>110</v>
      </c>
      <c r="C83" s="3" t="s">
        <v>73</v>
      </c>
      <c r="D83" s="4">
        <v>957</v>
      </c>
      <c r="E83" s="4">
        <v>1045</v>
      </c>
      <c r="F83" s="4">
        <v>1154</v>
      </c>
      <c r="G83" s="4">
        <v>1354</v>
      </c>
      <c r="H83" s="4">
        <v>1536</v>
      </c>
      <c r="I83" s="4">
        <v>1723</v>
      </c>
      <c r="J83" s="4">
        <v>1975</v>
      </c>
      <c r="K83" s="4">
        <v>2327</v>
      </c>
      <c r="L83" s="4">
        <v>2644</v>
      </c>
      <c r="M83" s="4">
        <v>2717</v>
      </c>
      <c r="N83" s="4">
        <v>3211</v>
      </c>
      <c r="O83" s="4">
        <v>3607</v>
      </c>
      <c r="P83" s="4">
        <v>3911</v>
      </c>
      <c r="Q83" s="4">
        <v>4334</v>
      </c>
      <c r="R83" s="4">
        <v>4418</v>
      </c>
      <c r="S83" s="4">
        <v>4403</v>
      </c>
      <c r="T83" s="4">
        <v>4808</v>
      </c>
      <c r="U83" s="4">
        <v>5038</v>
      </c>
      <c r="V83" s="4">
        <v>5646</v>
      </c>
      <c r="W83" s="4">
        <v>6035</v>
      </c>
      <c r="X83" s="4">
        <v>6765</v>
      </c>
      <c r="Y83" s="4">
        <v>7511</v>
      </c>
      <c r="Z83" s="4">
        <v>7430</v>
      </c>
      <c r="AA83" s="4">
        <v>7554</v>
      </c>
      <c r="AB83" s="4">
        <v>7736</v>
      </c>
      <c r="AC83" s="4">
        <v>8140</v>
      </c>
      <c r="AD83" s="4">
        <v>8261</v>
      </c>
      <c r="AE83" s="4">
        <v>8135</v>
      </c>
      <c r="AF83" s="4">
        <v>8427</v>
      </c>
      <c r="AG83" s="4">
        <v>8917</v>
      </c>
      <c r="AH83" s="4">
        <v>9245</v>
      </c>
      <c r="AI83" s="4">
        <v>9790</v>
      </c>
      <c r="AJ83" s="4">
        <v>10530</v>
      </c>
      <c r="AK83" s="4">
        <v>11012</v>
      </c>
      <c r="AL83" s="4">
        <v>11045</v>
      </c>
      <c r="AM83" s="4">
        <v>11175</v>
      </c>
      <c r="AN83" s="4">
        <v>11130</v>
      </c>
      <c r="AO83" s="4">
        <v>11042</v>
      </c>
      <c r="AP83" s="4">
        <v>11055</v>
      </c>
      <c r="AQ83" s="4">
        <v>11449</v>
      </c>
      <c r="AR83" s="4">
        <v>12068</v>
      </c>
      <c r="AS83" s="4">
        <v>12958</v>
      </c>
      <c r="AT83" s="4">
        <v>13183</v>
      </c>
      <c r="AU83" s="4">
        <v>10973</v>
      </c>
      <c r="AV83" s="4">
        <v>10056</v>
      </c>
      <c r="AW83" s="4">
        <v>10571</v>
      </c>
      <c r="AX83" s="4">
        <v>10719</v>
      </c>
      <c r="AY83" s="4">
        <v>10604</v>
      </c>
      <c r="AZ83" s="4">
        <v>10706</v>
      </c>
      <c r="BA83" s="4">
        <v>10814</v>
      </c>
      <c r="BB83" s="4">
        <v>11103</v>
      </c>
      <c r="BC83" s="4">
        <v>11779</v>
      </c>
      <c r="BD83" s="4">
        <v>12098</v>
      </c>
      <c r="BE83" s="4">
        <v>12580</v>
      </c>
      <c r="BF83" s="4">
        <v>12634</v>
      </c>
      <c r="BG83" s="4">
        <v>13194</v>
      </c>
      <c r="BH83" s="4">
        <v>13796</v>
      </c>
      <c r="BI83" s="4">
        <v>13363</v>
      </c>
      <c r="BJ83" s="4">
        <v>13376</v>
      </c>
    </row>
    <row r="84" spans="2:62" ht="16" x14ac:dyDescent="0.2">
      <c r="B84" s="6" t="s">
        <v>110</v>
      </c>
      <c r="C84" s="3" t="s">
        <v>74</v>
      </c>
      <c r="D84" s="4">
        <v>860</v>
      </c>
      <c r="E84" s="4">
        <v>929</v>
      </c>
      <c r="F84" s="4">
        <v>955</v>
      </c>
      <c r="G84" s="4">
        <v>1129</v>
      </c>
      <c r="H84" s="4">
        <v>1274</v>
      </c>
      <c r="I84" s="4">
        <v>1341</v>
      </c>
      <c r="J84" s="4">
        <v>1498</v>
      </c>
      <c r="K84" s="4">
        <v>1786</v>
      </c>
      <c r="L84" s="4">
        <v>2180</v>
      </c>
      <c r="M84" s="4">
        <v>2233</v>
      </c>
      <c r="N84" s="4">
        <v>2568</v>
      </c>
      <c r="O84" s="4">
        <v>2719</v>
      </c>
      <c r="P84" s="4">
        <v>2999</v>
      </c>
      <c r="Q84" s="4">
        <v>3673</v>
      </c>
      <c r="R84" s="4">
        <v>4042</v>
      </c>
      <c r="S84" s="4">
        <v>3952</v>
      </c>
      <c r="T84" s="4">
        <v>4507</v>
      </c>
      <c r="U84" s="4">
        <v>5012</v>
      </c>
      <c r="V84" s="4">
        <v>5829</v>
      </c>
      <c r="W84" s="4">
        <v>6535</v>
      </c>
      <c r="X84" s="4">
        <v>7318</v>
      </c>
      <c r="Y84" s="4">
        <v>7570</v>
      </c>
      <c r="Z84" s="4">
        <v>7856</v>
      </c>
      <c r="AA84" s="4">
        <v>8732</v>
      </c>
      <c r="AB84" s="4">
        <v>9564</v>
      </c>
      <c r="AC84" s="4">
        <v>9653</v>
      </c>
      <c r="AD84" s="4">
        <v>10074</v>
      </c>
      <c r="AE84" s="4">
        <v>10075</v>
      </c>
      <c r="AF84" s="4">
        <v>10332</v>
      </c>
      <c r="AG84" s="4">
        <v>11616</v>
      </c>
      <c r="AH84" s="4">
        <v>12132</v>
      </c>
      <c r="AI84" s="4">
        <v>12765</v>
      </c>
      <c r="AJ84" s="4">
        <v>12791</v>
      </c>
      <c r="AK84" s="4">
        <v>13189</v>
      </c>
      <c r="AL84" s="4">
        <v>13643</v>
      </c>
      <c r="AM84" s="4">
        <v>14217</v>
      </c>
      <c r="AN84" s="4">
        <v>14143</v>
      </c>
      <c r="AO84" s="4">
        <v>13738</v>
      </c>
      <c r="AP84" s="4">
        <v>13854</v>
      </c>
      <c r="AQ84" s="4">
        <v>14360</v>
      </c>
      <c r="AR84" s="4">
        <v>15298</v>
      </c>
      <c r="AS84" s="4">
        <v>16930</v>
      </c>
      <c r="AT84" s="4">
        <v>17641</v>
      </c>
      <c r="AU84" s="4">
        <v>15062</v>
      </c>
      <c r="AV84" s="4">
        <v>14147</v>
      </c>
      <c r="AW84" s="4">
        <v>14517</v>
      </c>
      <c r="AX84" s="4">
        <v>14796</v>
      </c>
      <c r="AY84" s="4">
        <v>15028</v>
      </c>
      <c r="AZ84" s="4">
        <v>15615</v>
      </c>
      <c r="BA84" s="4">
        <v>15922</v>
      </c>
      <c r="BB84" s="4">
        <v>16602</v>
      </c>
      <c r="BC84" s="4">
        <v>17376</v>
      </c>
      <c r="BD84" s="4">
        <v>17792</v>
      </c>
      <c r="BE84" s="4">
        <v>17645</v>
      </c>
      <c r="BF84" s="4">
        <v>17279</v>
      </c>
      <c r="BG84" s="4">
        <v>17776</v>
      </c>
      <c r="BH84" s="4">
        <v>18897</v>
      </c>
      <c r="BI84" s="4">
        <v>19830</v>
      </c>
      <c r="BJ84" s="4">
        <v>20842</v>
      </c>
    </row>
    <row r="85" spans="2:62" ht="16" x14ac:dyDescent="0.2">
      <c r="B85" s="6" t="s">
        <v>110</v>
      </c>
      <c r="C85" s="3" t="s">
        <v>75</v>
      </c>
      <c r="D85" s="4">
        <v>347</v>
      </c>
      <c r="E85" s="4">
        <v>362</v>
      </c>
      <c r="F85" s="4">
        <v>406</v>
      </c>
      <c r="G85" s="4">
        <v>473</v>
      </c>
      <c r="H85" s="4">
        <v>543</v>
      </c>
      <c r="I85" s="4">
        <v>578</v>
      </c>
      <c r="J85" s="4">
        <v>676</v>
      </c>
      <c r="K85" s="4">
        <v>830</v>
      </c>
      <c r="L85" s="4">
        <v>1098</v>
      </c>
      <c r="M85" s="4">
        <v>1137</v>
      </c>
      <c r="N85" s="4">
        <v>1305</v>
      </c>
      <c r="O85" s="4">
        <v>1484</v>
      </c>
      <c r="P85" s="4">
        <v>1667</v>
      </c>
      <c r="Q85" s="4">
        <v>1859</v>
      </c>
      <c r="R85" s="4">
        <v>2161</v>
      </c>
      <c r="S85" s="4">
        <v>2295</v>
      </c>
      <c r="T85" s="4">
        <v>2519</v>
      </c>
      <c r="U85" s="4">
        <v>2903</v>
      </c>
      <c r="V85" s="4">
        <v>3267</v>
      </c>
      <c r="W85" s="4">
        <v>3766</v>
      </c>
      <c r="X85" s="4">
        <v>4084</v>
      </c>
      <c r="Y85" s="4">
        <v>4384</v>
      </c>
      <c r="Z85" s="4">
        <v>4466</v>
      </c>
      <c r="AA85" s="4">
        <v>4618</v>
      </c>
      <c r="AB85" s="4">
        <v>4811</v>
      </c>
      <c r="AC85" s="4">
        <v>4880</v>
      </c>
      <c r="AD85" s="4">
        <v>4849</v>
      </c>
      <c r="AE85" s="4">
        <v>4688</v>
      </c>
      <c r="AF85" s="4">
        <v>4537</v>
      </c>
      <c r="AG85" s="4">
        <v>4895</v>
      </c>
      <c r="AH85" s="4">
        <v>5153</v>
      </c>
      <c r="AI85" s="4">
        <v>5372</v>
      </c>
      <c r="AJ85" s="4">
        <v>5572</v>
      </c>
      <c r="AK85" s="4">
        <v>5966</v>
      </c>
      <c r="AL85" s="4">
        <v>6501</v>
      </c>
      <c r="AM85" s="4">
        <v>6848</v>
      </c>
      <c r="AN85" s="4">
        <v>6688</v>
      </c>
      <c r="AO85" s="4">
        <v>6560</v>
      </c>
      <c r="AP85" s="4">
        <v>6537</v>
      </c>
      <c r="AQ85" s="4">
        <v>7271</v>
      </c>
      <c r="AR85" s="4">
        <v>7382</v>
      </c>
      <c r="AS85" s="4">
        <v>7910</v>
      </c>
      <c r="AT85" s="4">
        <v>8284</v>
      </c>
      <c r="AU85" s="4">
        <v>7703</v>
      </c>
      <c r="AV85" s="4">
        <v>7650</v>
      </c>
      <c r="AW85" s="4">
        <v>7764</v>
      </c>
      <c r="AX85" s="4">
        <v>7693</v>
      </c>
      <c r="AY85" s="4">
        <v>7802</v>
      </c>
      <c r="AZ85" s="4">
        <v>7389</v>
      </c>
      <c r="BA85" s="4">
        <v>7610</v>
      </c>
      <c r="BB85" s="4">
        <v>7902</v>
      </c>
      <c r="BC85" s="4">
        <v>8423</v>
      </c>
      <c r="BD85" s="4">
        <v>8931</v>
      </c>
      <c r="BE85" s="4">
        <v>9833</v>
      </c>
      <c r="BF85" s="4">
        <v>9697</v>
      </c>
      <c r="BG85" s="4">
        <v>10165</v>
      </c>
      <c r="BH85" s="4">
        <v>10338</v>
      </c>
      <c r="BI85" s="4">
        <v>10884</v>
      </c>
      <c r="BJ85" s="4">
        <v>11309</v>
      </c>
    </row>
    <row r="86" spans="2:62" ht="16" x14ac:dyDescent="0.2">
      <c r="B86" s="6" t="s">
        <v>110</v>
      </c>
      <c r="C86" s="3" t="s">
        <v>76</v>
      </c>
      <c r="D86" s="4">
        <v>439</v>
      </c>
      <c r="E86" s="4">
        <v>454</v>
      </c>
      <c r="F86" s="4">
        <v>475</v>
      </c>
      <c r="G86" s="4">
        <v>545</v>
      </c>
      <c r="H86" s="4">
        <v>600</v>
      </c>
      <c r="I86" s="4">
        <v>627</v>
      </c>
      <c r="J86" s="4">
        <v>644</v>
      </c>
      <c r="K86" s="4">
        <v>812</v>
      </c>
      <c r="L86" s="4">
        <v>947</v>
      </c>
      <c r="M86" s="4">
        <v>961</v>
      </c>
      <c r="N86" s="4">
        <v>1093</v>
      </c>
      <c r="O86" s="4">
        <v>1186</v>
      </c>
      <c r="P86" s="4">
        <v>1308</v>
      </c>
      <c r="Q86" s="4">
        <v>1351</v>
      </c>
      <c r="R86" s="4">
        <v>1626</v>
      </c>
      <c r="S86" s="4">
        <v>1707</v>
      </c>
      <c r="T86" s="4">
        <v>1816</v>
      </c>
      <c r="U86" s="4">
        <v>1979</v>
      </c>
      <c r="V86" s="4">
        <v>2236</v>
      </c>
      <c r="W86" s="4">
        <v>2610</v>
      </c>
      <c r="X86" s="4">
        <v>2834</v>
      </c>
      <c r="Y86" s="4">
        <v>3020</v>
      </c>
      <c r="Z86" s="4">
        <v>3121</v>
      </c>
      <c r="AA86" s="4">
        <v>3184</v>
      </c>
      <c r="AB86" s="4">
        <v>3335</v>
      </c>
      <c r="AC86" s="4">
        <v>3333</v>
      </c>
      <c r="AD86" s="4">
        <v>3167</v>
      </c>
      <c r="AE86" s="4">
        <v>3632</v>
      </c>
      <c r="AF86" s="4">
        <v>3626</v>
      </c>
      <c r="AG86" s="4">
        <v>3771</v>
      </c>
      <c r="AH86" s="4">
        <v>3868</v>
      </c>
      <c r="AI86" s="4">
        <v>3830</v>
      </c>
      <c r="AJ86" s="4">
        <v>4092</v>
      </c>
      <c r="AK86" s="4">
        <v>4226</v>
      </c>
      <c r="AL86" s="4">
        <v>4058</v>
      </c>
      <c r="AM86" s="4">
        <v>4442</v>
      </c>
      <c r="AN86" s="4">
        <v>4071</v>
      </c>
      <c r="AO86" s="4">
        <v>3588</v>
      </c>
      <c r="AP86" s="4">
        <v>3635</v>
      </c>
      <c r="AQ86" s="4">
        <v>3696</v>
      </c>
      <c r="AR86" s="4">
        <v>4110</v>
      </c>
      <c r="AS86" s="4">
        <v>4649</v>
      </c>
      <c r="AT86" s="4">
        <v>5034</v>
      </c>
      <c r="AU86" s="4">
        <v>4375</v>
      </c>
      <c r="AV86" s="4">
        <v>4163</v>
      </c>
      <c r="AW86" s="4">
        <v>4390</v>
      </c>
      <c r="AX86" s="4">
        <v>4293</v>
      </c>
      <c r="AY86" s="4">
        <v>4057</v>
      </c>
      <c r="AZ86" s="4">
        <v>4295</v>
      </c>
      <c r="BA86" s="4">
        <v>4529</v>
      </c>
      <c r="BB86" s="4">
        <v>4487</v>
      </c>
      <c r="BC86" s="4">
        <v>4689</v>
      </c>
      <c r="BD86" s="4">
        <v>4793</v>
      </c>
      <c r="BE86" s="4">
        <v>5001</v>
      </c>
      <c r="BF86" s="4">
        <v>4978</v>
      </c>
      <c r="BG86" s="4">
        <v>5220</v>
      </c>
      <c r="BH86" s="4">
        <v>5851</v>
      </c>
      <c r="BI86" s="4">
        <v>6161</v>
      </c>
      <c r="BJ86" s="4">
        <v>6385</v>
      </c>
    </row>
    <row r="87" spans="2:62" ht="16" x14ac:dyDescent="0.2">
      <c r="B87" s="6" t="s">
        <v>110</v>
      </c>
      <c r="C87" s="3" t="s">
        <v>77</v>
      </c>
      <c r="D87" s="4">
        <v>1217</v>
      </c>
      <c r="E87" s="4">
        <v>1270</v>
      </c>
      <c r="F87" s="4">
        <v>1428</v>
      </c>
      <c r="G87" s="4">
        <v>1720</v>
      </c>
      <c r="H87" s="4">
        <v>2002</v>
      </c>
      <c r="I87" s="4">
        <v>2191</v>
      </c>
      <c r="J87" s="4">
        <v>2358</v>
      </c>
      <c r="K87" s="4">
        <v>2857</v>
      </c>
      <c r="L87" s="4">
        <v>3518</v>
      </c>
      <c r="M87" s="4">
        <v>3656</v>
      </c>
      <c r="N87" s="4">
        <v>4200</v>
      </c>
      <c r="O87" s="4">
        <v>4646</v>
      </c>
      <c r="P87" s="4">
        <v>5011</v>
      </c>
      <c r="Q87" s="4">
        <v>6016</v>
      </c>
      <c r="R87" s="4">
        <v>6762</v>
      </c>
      <c r="S87" s="4">
        <v>6839</v>
      </c>
      <c r="T87" s="4">
        <v>7428</v>
      </c>
      <c r="U87" s="4">
        <v>8311</v>
      </c>
      <c r="V87" s="4">
        <v>9464</v>
      </c>
      <c r="W87" s="4">
        <v>10882</v>
      </c>
      <c r="X87" s="4">
        <v>12003</v>
      </c>
      <c r="Y87" s="4">
        <v>11790</v>
      </c>
      <c r="Z87" s="4">
        <v>11640</v>
      </c>
      <c r="AA87" s="4">
        <v>12588</v>
      </c>
      <c r="AB87" s="4">
        <v>13310</v>
      </c>
      <c r="AC87" s="4">
        <v>13241</v>
      </c>
      <c r="AD87" s="4">
        <v>13716</v>
      </c>
      <c r="AE87" s="4">
        <v>13096</v>
      </c>
      <c r="AF87" s="4">
        <v>13624</v>
      </c>
      <c r="AG87" s="4">
        <v>15624</v>
      </c>
      <c r="AH87" s="4">
        <v>16573</v>
      </c>
      <c r="AI87" s="4">
        <v>17146</v>
      </c>
      <c r="AJ87" s="4">
        <v>18230</v>
      </c>
      <c r="AK87" s="4">
        <v>18637</v>
      </c>
      <c r="AL87" s="4">
        <v>19547</v>
      </c>
      <c r="AM87" s="4">
        <v>21458</v>
      </c>
      <c r="AN87" s="4">
        <v>22258</v>
      </c>
      <c r="AO87" s="4">
        <v>22180</v>
      </c>
      <c r="AP87" s="4">
        <v>22422</v>
      </c>
      <c r="AQ87" s="4">
        <v>22922</v>
      </c>
      <c r="AR87" s="4">
        <v>24104</v>
      </c>
      <c r="AS87" s="4">
        <v>26774</v>
      </c>
      <c r="AT87" s="4">
        <v>28291</v>
      </c>
      <c r="AU87" s="4">
        <v>24950</v>
      </c>
      <c r="AV87" s="4">
        <v>24344</v>
      </c>
      <c r="AW87" s="4">
        <v>25264</v>
      </c>
      <c r="AX87" s="4">
        <v>25388</v>
      </c>
      <c r="AY87" s="4">
        <v>24714</v>
      </c>
      <c r="AZ87" s="4">
        <v>24226</v>
      </c>
      <c r="BA87" s="4">
        <v>24881</v>
      </c>
      <c r="BB87" s="4">
        <v>25444</v>
      </c>
      <c r="BC87" s="4">
        <v>27114</v>
      </c>
      <c r="BD87" s="4">
        <v>26925</v>
      </c>
      <c r="BE87" s="4">
        <v>28318</v>
      </c>
      <c r="BF87" s="4">
        <v>27590</v>
      </c>
      <c r="BG87" s="4">
        <v>28264</v>
      </c>
      <c r="BH87" s="4">
        <v>32210</v>
      </c>
      <c r="BI87" s="4">
        <v>34640</v>
      </c>
      <c r="BJ87" s="4">
        <v>36497</v>
      </c>
    </row>
    <row r="88" spans="2:62" ht="16" x14ac:dyDescent="0.2">
      <c r="B88" s="6" t="s">
        <v>110</v>
      </c>
      <c r="C88" s="3" t="s">
        <v>78</v>
      </c>
      <c r="D88" s="4">
        <v>645</v>
      </c>
      <c r="E88" s="4">
        <v>666</v>
      </c>
      <c r="F88" s="4">
        <v>728</v>
      </c>
      <c r="G88" s="4">
        <v>850</v>
      </c>
      <c r="H88" s="4">
        <v>866</v>
      </c>
      <c r="I88" s="4">
        <v>985</v>
      </c>
      <c r="J88" s="4">
        <v>1124</v>
      </c>
      <c r="K88" s="4">
        <v>1358</v>
      </c>
      <c r="L88" s="4">
        <v>1572</v>
      </c>
      <c r="M88" s="4">
        <v>1870</v>
      </c>
      <c r="N88" s="4">
        <v>1908</v>
      </c>
      <c r="O88" s="4">
        <v>1868</v>
      </c>
      <c r="P88" s="4">
        <v>1895</v>
      </c>
      <c r="Q88" s="4">
        <v>1973</v>
      </c>
      <c r="R88" s="4">
        <v>2119</v>
      </c>
      <c r="S88" s="4">
        <v>2652</v>
      </c>
      <c r="T88" s="4">
        <v>2834</v>
      </c>
      <c r="U88" s="4">
        <v>3157</v>
      </c>
      <c r="V88" s="4">
        <v>3275</v>
      </c>
      <c r="W88" s="4">
        <v>3546</v>
      </c>
      <c r="X88" s="4">
        <v>3369</v>
      </c>
      <c r="Y88" s="4">
        <v>3428</v>
      </c>
      <c r="Z88" s="4">
        <v>3254</v>
      </c>
      <c r="AA88" s="4">
        <v>3147</v>
      </c>
      <c r="AB88" s="4">
        <v>3703</v>
      </c>
      <c r="AC88" s="4">
        <v>3782</v>
      </c>
      <c r="AD88" s="4">
        <v>4412</v>
      </c>
      <c r="AE88" s="4">
        <v>4165</v>
      </c>
      <c r="AF88" s="4">
        <v>4219</v>
      </c>
      <c r="AG88" s="4">
        <v>4901</v>
      </c>
      <c r="AH88" s="4">
        <v>4743</v>
      </c>
      <c r="AI88" s="4">
        <v>4541</v>
      </c>
      <c r="AJ88" s="4">
        <v>4523</v>
      </c>
      <c r="AK88" s="4">
        <v>4250</v>
      </c>
      <c r="AL88" s="4">
        <v>3987</v>
      </c>
      <c r="AM88" s="4">
        <v>4133</v>
      </c>
      <c r="AN88" s="4">
        <v>4143</v>
      </c>
      <c r="AO88" s="4">
        <v>3796</v>
      </c>
      <c r="AP88" s="4">
        <v>3445</v>
      </c>
      <c r="AQ88" s="4">
        <v>3764</v>
      </c>
      <c r="AR88" s="4">
        <v>3666</v>
      </c>
      <c r="AS88" s="4">
        <v>3778</v>
      </c>
      <c r="AT88" s="4">
        <v>3813</v>
      </c>
      <c r="AU88" s="4">
        <v>3162</v>
      </c>
      <c r="AV88" s="4">
        <v>2894</v>
      </c>
      <c r="AW88" s="4">
        <v>3178</v>
      </c>
      <c r="AX88" s="4">
        <v>2632</v>
      </c>
      <c r="AY88" s="4">
        <v>2358</v>
      </c>
      <c r="AZ88" s="4">
        <v>2458</v>
      </c>
      <c r="BA88" s="4">
        <v>2661</v>
      </c>
      <c r="BB88" s="4">
        <v>2758</v>
      </c>
      <c r="BC88" s="4">
        <v>2909</v>
      </c>
      <c r="BD88" s="4">
        <v>3142</v>
      </c>
      <c r="BE88" s="4">
        <v>3044</v>
      </c>
      <c r="BF88" s="4">
        <v>2977</v>
      </c>
      <c r="BG88" s="4">
        <v>3056</v>
      </c>
      <c r="BH88" s="4">
        <v>3289</v>
      </c>
      <c r="BI88" s="4">
        <v>3580</v>
      </c>
      <c r="BJ88" s="4">
        <v>3910</v>
      </c>
    </row>
    <row r="89" spans="2:62" ht="16" x14ac:dyDescent="0.2">
      <c r="B89" s="6" t="s">
        <v>108</v>
      </c>
      <c r="C89" s="3" t="s">
        <v>80</v>
      </c>
      <c r="D89" s="4">
        <v>292</v>
      </c>
      <c r="E89" s="4">
        <v>322</v>
      </c>
      <c r="F89" s="4">
        <v>351</v>
      </c>
      <c r="G89" s="4">
        <v>385</v>
      </c>
      <c r="H89" s="4">
        <v>425</v>
      </c>
      <c r="I89" s="4">
        <v>469</v>
      </c>
      <c r="J89" s="4">
        <v>518</v>
      </c>
      <c r="K89" s="4">
        <v>577</v>
      </c>
      <c r="L89" s="4">
        <v>673</v>
      </c>
      <c r="M89" s="4">
        <v>784</v>
      </c>
      <c r="N89" s="4">
        <v>884</v>
      </c>
      <c r="O89" s="4">
        <v>993</v>
      </c>
      <c r="P89" s="4">
        <v>1115</v>
      </c>
      <c r="Q89" s="4">
        <v>1231</v>
      </c>
      <c r="R89" s="4">
        <v>1336</v>
      </c>
      <c r="S89" s="4">
        <v>1514</v>
      </c>
      <c r="T89" s="4">
        <v>1671</v>
      </c>
      <c r="U89" s="4">
        <v>1812</v>
      </c>
      <c r="V89" s="4">
        <v>1819</v>
      </c>
      <c r="W89" s="4">
        <v>1902</v>
      </c>
      <c r="X89" s="4">
        <v>1987</v>
      </c>
      <c r="Y89" s="4">
        <v>2493</v>
      </c>
      <c r="Z89" s="4">
        <v>2670</v>
      </c>
      <c r="AA89" s="4">
        <v>2738</v>
      </c>
      <c r="AB89" s="4">
        <v>3192</v>
      </c>
      <c r="AC89" s="4">
        <v>3315</v>
      </c>
      <c r="AD89" s="4">
        <v>3670</v>
      </c>
      <c r="AE89" s="4">
        <v>3604</v>
      </c>
      <c r="AF89" s="4">
        <v>3521</v>
      </c>
      <c r="AG89" s="4">
        <v>3738</v>
      </c>
      <c r="AH89" s="4">
        <v>3802</v>
      </c>
      <c r="AI89" s="4">
        <v>3936</v>
      </c>
      <c r="AJ89" s="4">
        <v>3977</v>
      </c>
      <c r="AK89" s="4">
        <v>3944</v>
      </c>
      <c r="AL89" s="4">
        <v>4037</v>
      </c>
      <c r="AM89" s="4">
        <v>3665</v>
      </c>
      <c r="AN89" s="4">
        <v>3775</v>
      </c>
      <c r="AO89" s="4">
        <v>3855</v>
      </c>
      <c r="AP89" s="4">
        <v>3745</v>
      </c>
      <c r="AQ89" s="4">
        <v>3912</v>
      </c>
      <c r="AR89" s="4">
        <v>4363</v>
      </c>
      <c r="AS89" s="4">
        <v>4831</v>
      </c>
      <c r="AT89" s="4">
        <v>5442</v>
      </c>
      <c r="AU89" s="4">
        <v>6057</v>
      </c>
      <c r="AV89" s="4">
        <v>5660</v>
      </c>
      <c r="AW89" s="4">
        <v>5437</v>
      </c>
      <c r="AX89" s="4">
        <v>5842</v>
      </c>
      <c r="AY89" s="4">
        <v>5664</v>
      </c>
      <c r="AZ89" s="4">
        <v>5990</v>
      </c>
      <c r="BA89" s="4">
        <v>5696</v>
      </c>
      <c r="BB89" s="4">
        <v>5946</v>
      </c>
      <c r="BC89" s="4">
        <v>5573</v>
      </c>
      <c r="BD89" s="4">
        <v>6311</v>
      </c>
      <c r="BE89" s="4">
        <v>6950</v>
      </c>
      <c r="BF89" s="4">
        <v>7538</v>
      </c>
      <c r="BG89" s="4">
        <v>7888</v>
      </c>
      <c r="BH89" s="4">
        <v>9729</v>
      </c>
      <c r="BI89" s="4">
        <v>10709</v>
      </c>
      <c r="BJ89" s="4">
        <v>12164</v>
      </c>
    </row>
    <row r="90" spans="2:62" ht="16" x14ac:dyDescent="0.2">
      <c r="B90" s="6" t="s">
        <v>108</v>
      </c>
      <c r="C90" s="3" t="s">
        <v>81</v>
      </c>
      <c r="D90" s="4">
        <v>104</v>
      </c>
      <c r="E90" s="4">
        <v>120</v>
      </c>
      <c r="F90" s="4">
        <v>139</v>
      </c>
      <c r="G90" s="4">
        <v>160</v>
      </c>
      <c r="H90" s="4">
        <v>183</v>
      </c>
      <c r="I90" s="4">
        <v>222</v>
      </c>
      <c r="J90" s="4">
        <v>263</v>
      </c>
      <c r="K90" s="4">
        <v>319</v>
      </c>
      <c r="L90" s="4">
        <v>400</v>
      </c>
      <c r="M90" s="4">
        <v>469</v>
      </c>
      <c r="N90" s="4">
        <v>522</v>
      </c>
      <c r="O90" s="4">
        <v>595</v>
      </c>
      <c r="P90" s="4">
        <v>699</v>
      </c>
      <c r="Q90" s="4">
        <v>780</v>
      </c>
      <c r="R90" s="4">
        <v>901</v>
      </c>
      <c r="S90" s="4">
        <v>971</v>
      </c>
      <c r="T90" s="4">
        <v>1103</v>
      </c>
      <c r="U90" s="4">
        <v>1264</v>
      </c>
      <c r="V90" s="4">
        <v>1388</v>
      </c>
      <c r="W90" s="4">
        <v>1570</v>
      </c>
      <c r="X90" s="4">
        <v>1686</v>
      </c>
      <c r="Y90" s="4">
        <v>1916</v>
      </c>
      <c r="Z90" s="4">
        <v>2542</v>
      </c>
      <c r="AA90" s="4">
        <v>2717</v>
      </c>
      <c r="AB90" s="4">
        <v>3022</v>
      </c>
      <c r="AC90" s="4">
        <v>3282</v>
      </c>
      <c r="AD90" s="4">
        <v>3381</v>
      </c>
      <c r="AE90" s="4">
        <v>2639</v>
      </c>
      <c r="AF90" s="4">
        <v>2547</v>
      </c>
      <c r="AG90" s="4">
        <v>3025</v>
      </c>
      <c r="AH90" s="4">
        <v>3204</v>
      </c>
      <c r="AI90" s="4">
        <v>3284</v>
      </c>
      <c r="AJ90" s="4">
        <v>3338</v>
      </c>
      <c r="AK90" s="4">
        <v>3432</v>
      </c>
      <c r="AL90" s="4">
        <v>3156</v>
      </c>
      <c r="AM90" s="4">
        <v>3402</v>
      </c>
      <c r="AN90" s="4">
        <v>3859</v>
      </c>
      <c r="AO90" s="4">
        <v>3655</v>
      </c>
      <c r="AP90" s="4">
        <v>3882</v>
      </c>
      <c r="AQ90" s="4">
        <v>4125</v>
      </c>
      <c r="AR90" s="4">
        <v>4181</v>
      </c>
      <c r="AS90" s="4">
        <v>4299</v>
      </c>
      <c r="AT90" s="4">
        <v>4577</v>
      </c>
      <c r="AU90" s="4">
        <v>4508</v>
      </c>
      <c r="AV90" s="4">
        <v>4380</v>
      </c>
      <c r="AW90" s="4">
        <v>4530</v>
      </c>
      <c r="AX90" s="4">
        <v>4482</v>
      </c>
      <c r="AY90" s="4">
        <v>4203</v>
      </c>
      <c r="AZ90" s="4">
        <v>4538</v>
      </c>
      <c r="BA90" s="4">
        <v>4729</v>
      </c>
      <c r="BB90" s="4">
        <v>4906</v>
      </c>
      <c r="BC90" s="4">
        <v>4969</v>
      </c>
      <c r="BD90" s="4">
        <v>4809</v>
      </c>
      <c r="BE90" s="4">
        <v>5094</v>
      </c>
      <c r="BF90" s="4">
        <v>5362</v>
      </c>
      <c r="BG90" s="4">
        <v>5942</v>
      </c>
      <c r="BH90" s="4">
        <v>6597</v>
      </c>
      <c r="BI90" s="4">
        <v>7236</v>
      </c>
      <c r="BJ90" s="4">
        <v>7770</v>
      </c>
    </row>
    <row r="91" spans="2:62" ht="16" x14ac:dyDescent="0.2">
      <c r="B91" s="6" t="s">
        <v>110</v>
      </c>
      <c r="C91" s="3" t="s">
        <v>82</v>
      </c>
      <c r="D91" s="4">
        <v>4880</v>
      </c>
      <c r="E91" s="4">
        <v>5488</v>
      </c>
      <c r="F91" s="4">
        <v>6269</v>
      </c>
      <c r="G91" s="4">
        <v>7231</v>
      </c>
      <c r="H91" s="4">
        <v>8107</v>
      </c>
      <c r="I91" s="4">
        <v>8662</v>
      </c>
      <c r="J91" s="4">
        <v>8897</v>
      </c>
      <c r="K91" s="4">
        <v>9873</v>
      </c>
      <c r="L91" s="4">
        <v>10388</v>
      </c>
      <c r="M91" s="4">
        <v>10613</v>
      </c>
      <c r="N91" s="4">
        <v>12695</v>
      </c>
      <c r="O91" s="4">
        <v>13374</v>
      </c>
      <c r="P91" s="4">
        <v>14809</v>
      </c>
      <c r="Q91" s="4">
        <v>16473</v>
      </c>
      <c r="R91" s="4">
        <v>16817</v>
      </c>
      <c r="S91" s="4">
        <v>15849</v>
      </c>
      <c r="T91" s="4">
        <v>16920</v>
      </c>
      <c r="U91" s="4">
        <v>18521</v>
      </c>
      <c r="V91" s="4">
        <v>20915</v>
      </c>
      <c r="W91" s="4">
        <v>23391</v>
      </c>
      <c r="X91" s="4">
        <v>27532</v>
      </c>
      <c r="Y91" s="4">
        <v>29718</v>
      </c>
      <c r="Z91" s="4">
        <v>30091</v>
      </c>
      <c r="AA91" s="4">
        <v>29610</v>
      </c>
      <c r="AB91" s="4">
        <v>29741</v>
      </c>
      <c r="AC91" s="4">
        <v>28948</v>
      </c>
      <c r="AD91" s="4">
        <v>29019</v>
      </c>
      <c r="AE91" s="4">
        <v>28648</v>
      </c>
      <c r="AF91" s="4">
        <v>30614</v>
      </c>
      <c r="AG91" s="4">
        <v>33068</v>
      </c>
      <c r="AH91" s="4">
        <v>33949</v>
      </c>
      <c r="AI91" s="4">
        <v>36690</v>
      </c>
      <c r="AJ91" s="4">
        <v>38937</v>
      </c>
      <c r="AK91" s="4">
        <v>41508</v>
      </c>
      <c r="AL91" s="4">
        <v>43991</v>
      </c>
      <c r="AM91" s="4">
        <v>45307</v>
      </c>
      <c r="AN91" s="4">
        <v>45277</v>
      </c>
      <c r="AO91" s="4">
        <v>46146</v>
      </c>
      <c r="AP91" s="4">
        <v>47498</v>
      </c>
      <c r="AQ91" s="4">
        <v>52476</v>
      </c>
      <c r="AR91" s="4">
        <v>58164</v>
      </c>
      <c r="AS91" s="4">
        <v>62666</v>
      </c>
      <c r="AT91" s="4">
        <v>65157</v>
      </c>
      <c r="AU91" s="4">
        <v>58239</v>
      </c>
      <c r="AV91" s="4">
        <v>54349</v>
      </c>
      <c r="AW91" s="4">
        <v>55858</v>
      </c>
      <c r="AX91" s="4">
        <v>56314</v>
      </c>
      <c r="AY91" s="4">
        <v>55714</v>
      </c>
      <c r="AZ91" s="4">
        <v>58030</v>
      </c>
      <c r="BA91" s="4">
        <v>61566</v>
      </c>
      <c r="BB91" s="4">
        <v>65773</v>
      </c>
      <c r="BC91" s="4">
        <v>69554</v>
      </c>
      <c r="BD91" s="4">
        <v>73244</v>
      </c>
      <c r="BE91" s="4">
        <v>76613</v>
      </c>
      <c r="BF91" s="4">
        <v>79872</v>
      </c>
      <c r="BG91" s="4">
        <v>85159</v>
      </c>
      <c r="BH91" s="4">
        <v>91995</v>
      </c>
      <c r="BI91" s="4">
        <v>95568</v>
      </c>
      <c r="BJ91" s="4">
        <v>100628</v>
      </c>
    </row>
    <row r="92" spans="2:62" ht="16" x14ac:dyDescent="0.2">
      <c r="B92" s="6" t="s">
        <v>108</v>
      </c>
      <c r="C92" s="3" t="s">
        <v>83</v>
      </c>
      <c r="D92" s="4">
        <v>5879</v>
      </c>
      <c r="E92" s="4">
        <v>6770</v>
      </c>
      <c r="F92" s="4">
        <v>7348</v>
      </c>
      <c r="G92" s="4">
        <v>8357</v>
      </c>
      <c r="H92" s="4">
        <v>9358</v>
      </c>
      <c r="I92" s="4">
        <v>10363</v>
      </c>
      <c r="J92" s="4">
        <v>11332</v>
      </c>
      <c r="K92" s="4">
        <v>13098</v>
      </c>
      <c r="L92" s="4">
        <v>15250</v>
      </c>
      <c r="M92" s="4">
        <v>17457</v>
      </c>
      <c r="N92" s="4">
        <v>20148</v>
      </c>
      <c r="O92" s="4">
        <v>23040</v>
      </c>
      <c r="P92" s="4">
        <v>25289</v>
      </c>
      <c r="Q92" s="4">
        <v>27057</v>
      </c>
      <c r="R92" s="4">
        <v>28840</v>
      </c>
      <c r="S92" s="4">
        <v>29386</v>
      </c>
      <c r="T92" s="4">
        <v>32586</v>
      </c>
      <c r="U92" s="4">
        <v>35455</v>
      </c>
      <c r="V92" s="4">
        <v>39182</v>
      </c>
      <c r="W92" s="4">
        <v>43734</v>
      </c>
      <c r="X92" s="4">
        <v>48536</v>
      </c>
      <c r="Y92" s="4">
        <v>52964</v>
      </c>
      <c r="Z92" s="4">
        <v>54703</v>
      </c>
      <c r="AA92" s="4">
        <v>56411</v>
      </c>
      <c r="AB92" s="4">
        <v>58859</v>
      </c>
      <c r="AC92" s="4">
        <v>60420</v>
      </c>
      <c r="AD92" s="4">
        <v>62660</v>
      </c>
      <c r="AE92" s="4">
        <v>63332</v>
      </c>
      <c r="AF92" s="4">
        <v>65568</v>
      </c>
      <c r="AG92" s="4">
        <v>69613</v>
      </c>
      <c r="AH92" s="4">
        <v>75737</v>
      </c>
      <c r="AI92" s="4">
        <v>80770</v>
      </c>
      <c r="AJ92" s="4">
        <v>86625</v>
      </c>
      <c r="AK92" s="4">
        <v>90896</v>
      </c>
      <c r="AL92" s="4">
        <v>93741</v>
      </c>
      <c r="AM92" s="4">
        <v>96481</v>
      </c>
      <c r="AN92" s="4">
        <v>98523</v>
      </c>
      <c r="AO92" s="4">
        <v>101239</v>
      </c>
      <c r="AP92" s="4">
        <v>104631</v>
      </c>
      <c r="AQ92" s="4">
        <v>113427</v>
      </c>
      <c r="AR92" s="4">
        <v>119692</v>
      </c>
      <c r="AS92" s="4">
        <v>130058</v>
      </c>
      <c r="AT92" s="4">
        <v>136202</v>
      </c>
      <c r="AU92" s="4">
        <v>130626</v>
      </c>
      <c r="AV92" s="4">
        <v>131785</v>
      </c>
      <c r="AW92" s="4">
        <v>136644</v>
      </c>
      <c r="AX92" s="4">
        <v>139067</v>
      </c>
      <c r="AY92" s="4">
        <v>140289</v>
      </c>
      <c r="AZ92" s="4">
        <v>144836</v>
      </c>
      <c r="BA92" s="4">
        <v>149317</v>
      </c>
      <c r="BB92" s="4">
        <v>153391</v>
      </c>
      <c r="BC92" s="4">
        <v>160297</v>
      </c>
      <c r="BD92" s="4">
        <v>167971</v>
      </c>
      <c r="BE92" s="4">
        <v>175589</v>
      </c>
      <c r="BF92" s="4">
        <v>176523</v>
      </c>
      <c r="BG92" s="4">
        <v>187641</v>
      </c>
      <c r="BH92" s="4">
        <v>204167</v>
      </c>
      <c r="BI92" s="4">
        <v>207808</v>
      </c>
      <c r="BJ92" s="4">
        <v>213831</v>
      </c>
    </row>
    <row r="93" spans="2:62" ht="16" x14ac:dyDescent="0.2">
      <c r="B93" s="6" t="s">
        <v>110</v>
      </c>
      <c r="C93" s="3" t="s">
        <v>84</v>
      </c>
      <c r="D93" s="4">
        <v>2829</v>
      </c>
      <c r="E93" s="4">
        <v>3051</v>
      </c>
      <c r="F93" s="4">
        <v>3410</v>
      </c>
      <c r="G93" s="4">
        <v>3711</v>
      </c>
      <c r="H93" s="4">
        <v>4038</v>
      </c>
      <c r="I93" s="4">
        <v>4531</v>
      </c>
      <c r="J93" s="4">
        <v>5020</v>
      </c>
      <c r="K93" s="4">
        <v>5612</v>
      </c>
      <c r="L93" s="4">
        <v>6738</v>
      </c>
      <c r="M93" s="4">
        <v>7685</v>
      </c>
      <c r="N93" s="4">
        <v>8749</v>
      </c>
      <c r="O93" s="4">
        <v>9669</v>
      </c>
      <c r="P93" s="4">
        <v>10336</v>
      </c>
      <c r="Q93" s="4">
        <v>11364</v>
      </c>
      <c r="R93" s="4">
        <v>12829</v>
      </c>
      <c r="S93" s="4">
        <v>14379</v>
      </c>
      <c r="T93" s="4">
        <v>16855</v>
      </c>
      <c r="U93" s="4">
        <v>18307</v>
      </c>
      <c r="V93" s="4">
        <v>19897</v>
      </c>
      <c r="W93" s="4">
        <v>21284</v>
      </c>
      <c r="X93" s="4">
        <v>22219</v>
      </c>
      <c r="Y93" s="4">
        <v>24775</v>
      </c>
      <c r="Z93" s="4">
        <v>26125</v>
      </c>
      <c r="AA93" s="4">
        <v>26882</v>
      </c>
      <c r="AB93" s="4">
        <v>28365</v>
      </c>
      <c r="AC93" s="4">
        <v>29659</v>
      </c>
      <c r="AD93" s="4">
        <v>30936</v>
      </c>
      <c r="AE93" s="4">
        <v>30222</v>
      </c>
      <c r="AF93" s="4">
        <v>31252</v>
      </c>
      <c r="AG93" s="4">
        <v>31930</v>
      </c>
      <c r="AH93" s="4">
        <v>33607</v>
      </c>
      <c r="AI93" s="4">
        <v>34760</v>
      </c>
      <c r="AJ93" s="4">
        <v>36069</v>
      </c>
      <c r="AK93" s="4">
        <v>37423</v>
      </c>
      <c r="AL93" s="4">
        <v>38331</v>
      </c>
      <c r="AM93" s="4">
        <v>39745</v>
      </c>
      <c r="AN93" s="4">
        <v>41856</v>
      </c>
      <c r="AO93" s="4">
        <v>42297</v>
      </c>
      <c r="AP93" s="4">
        <v>43054</v>
      </c>
      <c r="AQ93" s="4">
        <v>44019</v>
      </c>
      <c r="AR93" s="4">
        <v>47486</v>
      </c>
      <c r="AS93" s="4">
        <v>51207</v>
      </c>
      <c r="AT93" s="4">
        <v>55058</v>
      </c>
      <c r="AU93" s="4">
        <v>53274</v>
      </c>
      <c r="AV93" s="4">
        <v>53520</v>
      </c>
      <c r="AW93" s="4">
        <v>53383</v>
      </c>
      <c r="AX93" s="4">
        <v>52711</v>
      </c>
      <c r="AY93" s="4">
        <v>52766</v>
      </c>
      <c r="AZ93" s="4">
        <v>53382</v>
      </c>
      <c r="BA93" s="4">
        <v>55296</v>
      </c>
      <c r="BB93" s="4">
        <v>57080</v>
      </c>
      <c r="BC93" s="4">
        <v>57737</v>
      </c>
      <c r="BD93" s="4">
        <v>58517</v>
      </c>
      <c r="BE93" s="4">
        <v>59342</v>
      </c>
      <c r="BF93" s="4">
        <v>58242</v>
      </c>
      <c r="BG93" s="4">
        <v>60085</v>
      </c>
      <c r="BH93" s="4">
        <v>67386</v>
      </c>
      <c r="BI93" s="4">
        <v>71821</v>
      </c>
      <c r="BJ93" s="4">
        <v>73952</v>
      </c>
    </row>
    <row r="94" spans="2:62" ht="16" x14ac:dyDescent="0.2">
      <c r="B94" s="6" t="s">
        <v>108</v>
      </c>
      <c r="C94" s="3" t="s">
        <v>85</v>
      </c>
      <c r="D94" s="4">
        <v>612</v>
      </c>
      <c r="E94" s="4">
        <v>678</v>
      </c>
      <c r="F94" s="4">
        <v>770</v>
      </c>
      <c r="G94" s="4">
        <v>865</v>
      </c>
      <c r="H94" s="4">
        <v>970</v>
      </c>
      <c r="I94" s="4">
        <v>1074</v>
      </c>
      <c r="J94" s="4">
        <v>1153</v>
      </c>
      <c r="K94" s="4">
        <v>1334</v>
      </c>
      <c r="L94" s="4">
        <v>1567</v>
      </c>
      <c r="M94" s="4">
        <v>1774</v>
      </c>
      <c r="N94" s="4">
        <v>2056</v>
      </c>
      <c r="O94" s="4">
        <v>2146</v>
      </c>
      <c r="P94" s="4">
        <v>2391</v>
      </c>
      <c r="Q94" s="4">
        <v>2563</v>
      </c>
      <c r="R94" s="4">
        <v>2808</v>
      </c>
      <c r="S94" s="4">
        <v>3000</v>
      </c>
      <c r="T94" s="4">
        <v>3376</v>
      </c>
      <c r="U94" s="4">
        <v>4003</v>
      </c>
      <c r="V94" s="4">
        <v>4423</v>
      </c>
      <c r="W94" s="4">
        <v>5109</v>
      </c>
      <c r="X94" s="4">
        <v>5434</v>
      </c>
      <c r="Y94" s="4">
        <v>6088</v>
      </c>
      <c r="Z94" s="4">
        <v>6292</v>
      </c>
      <c r="AA94" s="4">
        <v>6658</v>
      </c>
      <c r="AB94" s="4">
        <v>7037</v>
      </c>
      <c r="AC94" s="4">
        <v>7348</v>
      </c>
      <c r="AD94" s="4">
        <v>7630</v>
      </c>
      <c r="AE94" s="4">
        <v>7744</v>
      </c>
      <c r="AF94" s="4">
        <v>8319</v>
      </c>
      <c r="AG94" s="4">
        <v>8694</v>
      </c>
      <c r="AH94" s="4">
        <v>9166</v>
      </c>
      <c r="AI94" s="4">
        <v>9596</v>
      </c>
      <c r="AJ94" s="4">
        <v>10006</v>
      </c>
      <c r="AK94" s="4">
        <v>10185</v>
      </c>
      <c r="AL94" s="4">
        <v>10314</v>
      </c>
      <c r="AM94" s="4">
        <v>10764</v>
      </c>
      <c r="AN94" s="4">
        <v>11225</v>
      </c>
      <c r="AO94" s="4">
        <v>11465</v>
      </c>
      <c r="AP94" s="4">
        <v>12181</v>
      </c>
      <c r="AQ94" s="4">
        <v>13158</v>
      </c>
      <c r="AR94" s="4">
        <v>14284</v>
      </c>
      <c r="AS94" s="4">
        <v>15435</v>
      </c>
      <c r="AT94" s="4">
        <v>16651</v>
      </c>
      <c r="AU94" s="4">
        <v>16122</v>
      </c>
      <c r="AV94" s="4">
        <v>15975</v>
      </c>
      <c r="AW94" s="4">
        <v>17095</v>
      </c>
      <c r="AX94" s="4">
        <v>17582</v>
      </c>
      <c r="AY94" s="4">
        <v>18200</v>
      </c>
      <c r="AZ94" s="4">
        <v>19056</v>
      </c>
      <c r="BA94" s="4">
        <v>20145</v>
      </c>
      <c r="BB94" s="4">
        <v>21648</v>
      </c>
      <c r="BC94" s="4">
        <v>23033</v>
      </c>
      <c r="BD94" s="4">
        <v>24133</v>
      </c>
      <c r="BE94" s="4">
        <v>25367</v>
      </c>
      <c r="BF94" s="4">
        <v>23483</v>
      </c>
      <c r="BG94" s="4">
        <v>24992</v>
      </c>
      <c r="BH94" s="4">
        <v>30235</v>
      </c>
      <c r="BI94" s="4">
        <v>31921</v>
      </c>
      <c r="BJ94" s="4">
        <v>33232</v>
      </c>
    </row>
    <row r="95" spans="2:62" ht="16" x14ac:dyDescent="0.2">
      <c r="B95" s="6" t="s">
        <v>108</v>
      </c>
      <c r="C95" s="3" t="s">
        <v>86</v>
      </c>
      <c r="D95" s="4">
        <v>617</v>
      </c>
      <c r="E95" s="4">
        <v>685</v>
      </c>
      <c r="F95" s="4">
        <v>766</v>
      </c>
      <c r="G95" s="4">
        <v>854</v>
      </c>
      <c r="H95" s="4">
        <v>945</v>
      </c>
      <c r="I95" s="4">
        <v>1051</v>
      </c>
      <c r="J95" s="4">
        <v>1162</v>
      </c>
      <c r="K95" s="4">
        <v>1313</v>
      </c>
      <c r="L95" s="4">
        <v>1595</v>
      </c>
      <c r="M95" s="4">
        <v>1800</v>
      </c>
      <c r="N95" s="4">
        <v>2033</v>
      </c>
      <c r="O95" s="4">
        <v>2273</v>
      </c>
      <c r="P95" s="4">
        <v>2675</v>
      </c>
      <c r="Q95" s="4">
        <v>2957</v>
      </c>
      <c r="R95" s="4">
        <v>3253</v>
      </c>
      <c r="S95" s="4">
        <v>2968</v>
      </c>
      <c r="T95" s="4">
        <v>3759</v>
      </c>
      <c r="U95" s="4">
        <v>4265</v>
      </c>
      <c r="V95" s="4">
        <v>4480</v>
      </c>
      <c r="W95" s="4">
        <v>4713</v>
      </c>
      <c r="X95" s="4">
        <v>5138</v>
      </c>
      <c r="Y95" s="4">
        <v>5554</v>
      </c>
      <c r="Z95" s="4">
        <v>6051</v>
      </c>
      <c r="AA95" s="4">
        <v>6413</v>
      </c>
      <c r="AB95" s="4">
        <v>6614</v>
      </c>
      <c r="AC95" s="4">
        <v>6908</v>
      </c>
      <c r="AD95" s="4">
        <v>6980</v>
      </c>
      <c r="AE95" s="4">
        <v>7055</v>
      </c>
      <c r="AF95" s="4">
        <v>7237</v>
      </c>
      <c r="AG95" s="4">
        <v>7666</v>
      </c>
      <c r="AH95" s="4">
        <v>8172</v>
      </c>
      <c r="AI95" s="4">
        <v>8628</v>
      </c>
      <c r="AJ95" s="4">
        <v>9151</v>
      </c>
      <c r="AK95" s="4">
        <v>9845</v>
      </c>
      <c r="AL95" s="4">
        <v>10240</v>
      </c>
      <c r="AM95" s="4">
        <v>10557</v>
      </c>
      <c r="AN95" s="4">
        <v>10817</v>
      </c>
      <c r="AO95" s="4">
        <v>10732</v>
      </c>
      <c r="AP95" s="4">
        <v>11187</v>
      </c>
      <c r="AQ95" s="4">
        <v>11556</v>
      </c>
      <c r="AR95" s="4">
        <v>12517</v>
      </c>
      <c r="AS95" s="4">
        <v>13355</v>
      </c>
      <c r="AT95" s="4">
        <v>13383</v>
      </c>
      <c r="AU95" s="4">
        <v>13216</v>
      </c>
      <c r="AV95" s="4">
        <v>13218</v>
      </c>
      <c r="AW95" s="4">
        <v>13283</v>
      </c>
      <c r="AX95" s="4">
        <v>13092</v>
      </c>
      <c r="AY95" s="4">
        <v>13279</v>
      </c>
      <c r="AZ95" s="4">
        <v>13759</v>
      </c>
      <c r="BA95" s="4">
        <v>14379</v>
      </c>
      <c r="BB95" s="4">
        <v>14730</v>
      </c>
      <c r="BC95" s="4">
        <v>14977</v>
      </c>
      <c r="BD95" s="4">
        <v>15166</v>
      </c>
      <c r="BE95" s="4">
        <v>15730</v>
      </c>
      <c r="BF95" s="4">
        <v>16180</v>
      </c>
      <c r="BG95" s="4">
        <v>17344</v>
      </c>
      <c r="BH95" s="4">
        <v>18252</v>
      </c>
      <c r="BI95" s="4">
        <v>18755</v>
      </c>
      <c r="BJ95" s="4">
        <v>19043</v>
      </c>
    </row>
    <row r="96" spans="2:62" ht="16" x14ac:dyDescent="0.2">
      <c r="B96" s="6" t="s">
        <v>108</v>
      </c>
      <c r="C96" s="3" t="s">
        <v>87</v>
      </c>
      <c r="D96" s="4">
        <v>300</v>
      </c>
      <c r="E96" s="4">
        <v>321</v>
      </c>
      <c r="F96" s="4">
        <v>351</v>
      </c>
      <c r="G96" s="4">
        <v>361</v>
      </c>
      <c r="H96" s="4">
        <v>403</v>
      </c>
      <c r="I96" s="4">
        <v>440</v>
      </c>
      <c r="J96" s="4">
        <v>480</v>
      </c>
      <c r="K96" s="4">
        <v>582</v>
      </c>
      <c r="L96" s="4">
        <v>712</v>
      </c>
      <c r="M96" s="4">
        <v>834</v>
      </c>
      <c r="N96" s="4">
        <v>976</v>
      </c>
      <c r="O96" s="4">
        <v>1066</v>
      </c>
      <c r="P96" s="4">
        <v>1198</v>
      </c>
      <c r="Q96" s="4">
        <v>1382</v>
      </c>
      <c r="R96" s="4">
        <v>1708</v>
      </c>
      <c r="S96" s="4">
        <v>1931</v>
      </c>
      <c r="T96" s="4">
        <v>2215</v>
      </c>
      <c r="U96" s="4">
        <v>2432</v>
      </c>
      <c r="V96" s="4">
        <v>2607</v>
      </c>
      <c r="W96" s="4">
        <v>2827</v>
      </c>
      <c r="X96" s="4">
        <v>2936</v>
      </c>
      <c r="Y96" s="4">
        <v>3166</v>
      </c>
      <c r="Z96" s="4">
        <v>3652</v>
      </c>
      <c r="AA96" s="4">
        <v>3834</v>
      </c>
      <c r="AB96" s="4">
        <v>3833</v>
      </c>
      <c r="AC96" s="4">
        <v>4081</v>
      </c>
      <c r="AD96" s="4">
        <v>4450</v>
      </c>
      <c r="AE96" s="4">
        <v>4205</v>
      </c>
      <c r="AF96" s="4">
        <v>4095</v>
      </c>
      <c r="AG96" s="4">
        <v>3853</v>
      </c>
      <c r="AH96" s="4">
        <v>4746</v>
      </c>
      <c r="AI96" s="4">
        <v>5325</v>
      </c>
      <c r="AJ96" s="4">
        <v>5993</v>
      </c>
      <c r="AK96" s="4">
        <v>6362</v>
      </c>
      <c r="AL96" s="4">
        <v>7101</v>
      </c>
      <c r="AM96" s="4">
        <v>7839</v>
      </c>
      <c r="AN96" s="4">
        <v>7941</v>
      </c>
      <c r="AO96" s="4">
        <v>8529</v>
      </c>
      <c r="AP96" s="4">
        <v>8349</v>
      </c>
      <c r="AQ96" s="4">
        <v>8157</v>
      </c>
      <c r="AR96" s="4">
        <v>8360</v>
      </c>
      <c r="AS96" s="4">
        <v>8210</v>
      </c>
      <c r="AT96" s="4">
        <v>8424</v>
      </c>
      <c r="AU96" s="4">
        <v>8338</v>
      </c>
      <c r="AV96" s="4">
        <v>8124</v>
      </c>
      <c r="AW96" s="4">
        <v>8165</v>
      </c>
      <c r="AX96" s="4">
        <v>7696</v>
      </c>
      <c r="AY96" s="4">
        <v>7521</v>
      </c>
      <c r="AZ96" s="4">
        <v>7224</v>
      </c>
      <c r="BA96" s="4">
        <v>7367</v>
      </c>
      <c r="BB96" s="4">
        <v>7341</v>
      </c>
      <c r="BC96" s="4">
        <v>7459</v>
      </c>
      <c r="BD96" s="4">
        <v>8072</v>
      </c>
      <c r="BE96" s="4">
        <v>8251</v>
      </c>
      <c r="BF96" s="4">
        <v>8521</v>
      </c>
      <c r="BG96" s="4">
        <v>8367</v>
      </c>
      <c r="BH96" s="4">
        <v>8599</v>
      </c>
      <c r="BI96" s="4">
        <v>8637</v>
      </c>
      <c r="BJ96" s="4">
        <v>8749</v>
      </c>
    </row>
    <row r="97" spans="2:62" ht="16" x14ac:dyDescent="0.2">
      <c r="B97" s="6" t="s">
        <v>110</v>
      </c>
      <c r="C97" s="3" t="s">
        <v>88</v>
      </c>
      <c r="D97" s="4">
        <v>24</v>
      </c>
      <c r="E97" s="4">
        <v>56</v>
      </c>
      <c r="F97" s="4">
        <v>73</v>
      </c>
      <c r="G97" s="4">
        <v>98</v>
      </c>
      <c r="H97" s="4">
        <v>127</v>
      </c>
      <c r="I97" s="4">
        <v>161</v>
      </c>
      <c r="J97" s="4">
        <v>213</v>
      </c>
      <c r="K97" s="4">
        <v>266</v>
      </c>
      <c r="L97" s="4">
        <v>331</v>
      </c>
      <c r="M97" s="4">
        <v>410</v>
      </c>
      <c r="N97" s="4">
        <v>498</v>
      </c>
      <c r="O97" s="4">
        <v>596</v>
      </c>
      <c r="P97" s="4">
        <v>745</v>
      </c>
      <c r="Q97" s="4">
        <v>951</v>
      </c>
      <c r="R97" s="4">
        <v>1111</v>
      </c>
      <c r="S97" s="4">
        <v>1310</v>
      </c>
      <c r="T97" s="4">
        <v>1532</v>
      </c>
      <c r="U97" s="4">
        <v>1981</v>
      </c>
      <c r="V97" s="4">
        <v>2241</v>
      </c>
      <c r="W97" s="4">
        <v>2537</v>
      </c>
      <c r="X97" s="4">
        <v>2968</v>
      </c>
      <c r="Y97" s="4">
        <v>3627</v>
      </c>
      <c r="Z97" s="4">
        <v>3915</v>
      </c>
      <c r="AA97" s="4">
        <v>4404</v>
      </c>
      <c r="AB97" s="4">
        <v>4665</v>
      </c>
      <c r="AC97" s="4">
        <v>4905</v>
      </c>
      <c r="AD97" s="4">
        <v>4820</v>
      </c>
      <c r="AE97" s="4">
        <v>4784</v>
      </c>
      <c r="AF97" s="4">
        <v>5235</v>
      </c>
      <c r="AG97" s="4">
        <v>5474</v>
      </c>
      <c r="AH97" s="4">
        <v>5524</v>
      </c>
      <c r="AI97" s="4">
        <v>5990</v>
      </c>
      <c r="AJ97" s="4">
        <v>7018</v>
      </c>
      <c r="AK97" s="4">
        <v>9067</v>
      </c>
      <c r="AL97" s="4">
        <v>11454</v>
      </c>
      <c r="AM97" s="4">
        <v>13706</v>
      </c>
      <c r="AN97" s="4">
        <v>15794</v>
      </c>
      <c r="AO97" s="4">
        <v>15188</v>
      </c>
      <c r="AP97" s="4">
        <v>16507</v>
      </c>
      <c r="AQ97" s="4">
        <v>16848</v>
      </c>
      <c r="AR97" s="4">
        <v>19390</v>
      </c>
      <c r="AS97" s="4">
        <v>21436</v>
      </c>
      <c r="AT97" s="4">
        <v>23529</v>
      </c>
      <c r="AU97" s="4">
        <v>24453</v>
      </c>
      <c r="AV97" s="4">
        <v>25558</v>
      </c>
      <c r="AW97" s="4">
        <v>24783</v>
      </c>
      <c r="AX97" s="4">
        <v>25233</v>
      </c>
      <c r="AY97" s="4">
        <v>25264</v>
      </c>
      <c r="AZ97" s="4">
        <v>25921</v>
      </c>
      <c r="BA97" s="4">
        <v>27205</v>
      </c>
      <c r="BB97" s="4">
        <v>28719</v>
      </c>
      <c r="BC97" s="4">
        <v>29306</v>
      </c>
      <c r="BD97" s="4">
        <v>31290</v>
      </c>
      <c r="BE97" s="4">
        <v>33194</v>
      </c>
      <c r="BF97" s="4">
        <v>34837</v>
      </c>
      <c r="BG97" s="4">
        <v>37114</v>
      </c>
      <c r="BH97" s="4">
        <v>39936</v>
      </c>
      <c r="BI97" s="4">
        <v>43223</v>
      </c>
      <c r="BJ97" s="4">
        <v>45300</v>
      </c>
    </row>
    <row r="98" spans="2:62" ht="16" x14ac:dyDescent="0.2">
      <c r="B98" s="6" t="s">
        <v>108</v>
      </c>
      <c r="C98" s="3" t="s">
        <v>89</v>
      </c>
      <c r="D98" s="4">
        <v>1143</v>
      </c>
      <c r="E98" s="4">
        <v>1260</v>
      </c>
      <c r="F98" s="4">
        <v>1426</v>
      </c>
      <c r="G98" s="4">
        <v>1640</v>
      </c>
      <c r="H98" s="4">
        <v>1827</v>
      </c>
      <c r="I98" s="4">
        <v>2143</v>
      </c>
      <c r="J98" s="4">
        <v>2437</v>
      </c>
      <c r="K98" s="4">
        <v>2820</v>
      </c>
      <c r="L98" s="4">
        <v>3493</v>
      </c>
      <c r="M98" s="4">
        <v>4201</v>
      </c>
      <c r="N98" s="4">
        <v>4531</v>
      </c>
      <c r="O98" s="4">
        <v>5109</v>
      </c>
      <c r="P98" s="4">
        <v>5651</v>
      </c>
      <c r="Q98" s="4">
        <v>6626</v>
      </c>
      <c r="R98" s="4">
        <v>7487</v>
      </c>
      <c r="S98" s="4">
        <v>8512</v>
      </c>
      <c r="T98" s="4">
        <v>9648</v>
      </c>
      <c r="U98" s="4">
        <v>10758</v>
      </c>
      <c r="V98" s="4">
        <v>11651</v>
      </c>
      <c r="W98" s="4">
        <v>12812</v>
      </c>
      <c r="X98" s="4">
        <v>14079</v>
      </c>
      <c r="Y98" s="4">
        <v>16363</v>
      </c>
      <c r="Z98" s="4">
        <v>17348</v>
      </c>
      <c r="AA98" s="4">
        <v>19135</v>
      </c>
      <c r="AB98" s="4">
        <v>21661</v>
      </c>
      <c r="AC98" s="4">
        <v>22420</v>
      </c>
      <c r="AD98" s="4">
        <v>23040</v>
      </c>
      <c r="AE98" s="4">
        <v>21796</v>
      </c>
      <c r="AF98" s="4">
        <v>21853</v>
      </c>
      <c r="AG98" s="4">
        <v>22731</v>
      </c>
      <c r="AH98" s="4">
        <v>23762</v>
      </c>
      <c r="AI98" s="4">
        <v>24416</v>
      </c>
      <c r="AJ98" s="4">
        <v>25961</v>
      </c>
      <c r="AK98" s="4">
        <v>27668</v>
      </c>
      <c r="AL98" s="4">
        <v>29067</v>
      </c>
      <c r="AM98" s="4">
        <v>31804</v>
      </c>
      <c r="AN98" s="4">
        <v>33634</v>
      </c>
      <c r="AO98" s="4">
        <v>35237</v>
      </c>
      <c r="AP98" s="4">
        <v>35810</v>
      </c>
      <c r="AQ98" s="4">
        <v>36756</v>
      </c>
      <c r="AR98" s="4">
        <v>39979</v>
      </c>
      <c r="AS98" s="4">
        <v>44709</v>
      </c>
      <c r="AT98" s="4">
        <v>47122</v>
      </c>
      <c r="AU98" s="4">
        <v>50774</v>
      </c>
      <c r="AV98" s="4">
        <v>50184</v>
      </c>
      <c r="AW98" s="4">
        <v>51160</v>
      </c>
      <c r="AX98" s="4">
        <v>49757</v>
      </c>
      <c r="AY98" s="4">
        <v>50222</v>
      </c>
      <c r="AZ98" s="4">
        <v>47822</v>
      </c>
      <c r="BA98" s="4">
        <v>49790</v>
      </c>
      <c r="BB98" s="4">
        <v>49803</v>
      </c>
      <c r="BC98" s="4">
        <v>52333</v>
      </c>
      <c r="BD98" s="4">
        <v>54044</v>
      </c>
      <c r="BE98" s="4">
        <v>56770</v>
      </c>
      <c r="BF98" s="4">
        <v>56141</v>
      </c>
      <c r="BG98" s="4">
        <v>56637</v>
      </c>
      <c r="BH98" s="4">
        <v>56909</v>
      </c>
      <c r="BI98" s="4">
        <v>62614</v>
      </c>
      <c r="BJ98" s="4">
        <v>63172</v>
      </c>
    </row>
    <row r="99" spans="2:62" ht="16" x14ac:dyDescent="0.2">
      <c r="B99" s="6" t="s">
        <v>110</v>
      </c>
      <c r="C99" s="3" t="s">
        <v>92</v>
      </c>
      <c r="D99" s="4">
        <v>749</v>
      </c>
      <c r="E99" s="4">
        <v>843</v>
      </c>
      <c r="F99" s="4">
        <v>961</v>
      </c>
      <c r="G99" s="4">
        <v>1078</v>
      </c>
      <c r="H99" s="4">
        <v>1248</v>
      </c>
      <c r="I99" s="4">
        <v>1394</v>
      </c>
      <c r="J99" s="4">
        <v>1626</v>
      </c>
      <c r="K99" s="4">
        <v>1828</v>
      </c>
      <c r="L99" s="4">
        <v>2126</v>
      </c>
      <c r="M99" s="4">
        <v>2313</v>
      </c>
      <c r="N99" s="4">
        <v>2622</v>
      </c>
      <c r="O99" s="4">
        <v>3132</v>
      </c>
      <c r="P99" s="4">
        <v>3733</v>
      </c>
      <c r="Q99" s="4">
        <v>4367</v>
      </c>
      <c r="R99" s="4">
        <v>5058</v>
      </c>
      <c r="S99" s="4">
        <v>5698</v>
      </c>
      <c r="T99" s="4">
        <v>6437</v>
      </c>
      <c r="U99" s="4">
        <v>7234</v>
      </c>
      <c r="V99" s="4">
        <v>7841</v>
      </c>
      <c r="W99" s="4">
        <v>8615</v>
      </c>
      <c r="X99" s="4">
        <v>9565</v>
      </c>
      <c r="Y99" s="4">
        <v>11042</v>
      </c>
      <c r="Z99" s="4">
        <v>11444</v>
      </c>
      <c r="AA99" s="4">
        <v>13196</v>
      </c>
      <c r="AB99" s="4">
        <v>14138</v>
      </c>
      <c r="AC99" s="4">
        <v>14699</v>
      </c>
      <c r="AD99" s="4">
        <v>14458</v>
      </c>
      <c r="AE99" s="4">
        <v>14904</v>
      </c>
      <c r="AF99" s="4">
        <v>15532</v>
      </c>
      <c r="AG99" s="4">
        <v>16402</v>
      </c>
      <c r="AH99" s="4">
        <v>17725</v>
      </c>
      <c r="AI99" s="4">
        <v>19069</v>
      </c>
      <c r="AJ99" s="4">
        <v>20471</v>
      </c>
      <c r="AK99" s="4">
        <v>21606</v>
      </c>
      <c r="AL99" s="4">
        <v>23211</v>
      </c>
      <c r="AM99" s="4">
        <v>25544</v>
      </c>
      <c r="AN99" s="4">
        <v>27116</v>
      </c>
      <c r="AO99" s="4">
        <v>28075</v>
      </c>
      <c r="AP99" s="4">
        <v>29198</v>
      </c>
      <c r="AQ99" s="4">
        <v>32398</v>
      </c>
      <c r="AR99" s="4">
        <v>34477</v>
      </c>
      <c r="AS99" s="4">
        <v>38187</v>
      </c>
      <c r="AT99" s="4">
        <v>41600</v>
      </c>
      <c r="AU99" s="4">
        <v>41127</v>
      </c>
      <c r="AV99" s="4">
        <v>42590</v>
      </c>
      <c r="AW99" s="4">
        <v>43890</v>
      </c>
      <c r="AX99" s="4">
        <v>45773</v>
      </c>
      <c r="AY99" s="4">
        <v>48587</v>
      </c>
      <c r="AZ99" s="4">
        <v>49663</v>
      </c>
      <c r="BA99" s="4">
        <v>51983</v>
      </c>
      <c r="BB99" s="4">
        <v>56180</v>
      </c>
      <c r="BC99" s="4">
        <v>59058</v>
      </c>
      <c r="BD99" s="4">
        <v>62008</v>
      </c>
      <c r="BE99" s="4">
        <v>63742</v>
      </c>
      <c r="BF99" s="4">
        <v>65692</v>
      </c>
      <c r="BG99" s="4">
        <v>72546</v>
      </c>
      <c r="BH99" s="4">
        <v>80532</v>
      </c>
      <c r="BI99" s="4">
        <v>88057</v>
      </c>
      <c r="BJ99" s="4">
        <v>94932</v>
      </c>
    </row>
    <row r="100" spans="2:62" ht="16" x14ac:dyDescent="0.2">
      <c r="B100" s="6" t="s">
        <v>110</v>
      </c>
      <c r="C100" s="3" t="s">
        <v>93</v>
      </c>
      <c r="D100" s="4">
        <v>183</v>
      </c>
      <c r="E100" s="4">
        <v>212</v>
      </c>
      <c r="F100" s="4">
        <v>237</v>
      </c>
      <c r="G100" s="4">
        <v>295</v>
      </c>
      <c r="H100" s="4">
        <v>344</v>
      </c>
      <c r="I100" s="4">
        <v>401</v>
      </c>
      <c r="J100" s="4">
        <v>445</v>
      </c>
      <c r="K100" s="4">
        <v>503</v>
      </c>
      <c r="L100" s="4">
        <v>593</v>
      </c>
      <c r="M100" s="4">
        <v>714</v>
      </c>
      <c r="N100" s="4">
        <v>791</v>
      </c>
      <c r="O100" s="4">
        <v>868</v>
      </c>
      <c r="P100" s="4">
        <v>969</v>
      </c>
      <c r="Q100" s="4">
        <v>1075</v>
      </c>
      <c r="R100" s="4">
        <v>1189</v>
      </c>
      <c r="S100" s="4">
        <v>1341</v>
      </c>
      <c r="T100" s="4">
        <v>1558</v>
      </c>
      <c r="U100" s="4">
        <v>1696</v>
      </c>
      <c r="V100" s="4">
        <v>1777</v>
      </c>
      <c r="W100" s="4">
        <v>1847</v>
      </c>
      <c r="X100" s="4">
        <v>1946</v>
      </c>
      <c r="Y100" s="4">
        <v>2092</v>
      </c>
      <c r="Z100" s="4">
        <v>2283</v>
      </c>
      <c r="AA100" s="4">
        <v>2417</v>
      </c>
      <c r="AB100" s="4">
        <v>3021</v>
      </c>
      <c r="AC100" s="4">
        <v>3287</v>
      </c>
      <c r="AD100" s="4">
        <v>2921</v>
      </c>
      <c r="AE100" s="4">
        <v>2349</v>
      </c>
      <c r="AF100" s="4">
        <v>1861</v>
      </c>
      <c r="AG100" s="4">
        <v>1922</v>
      </c>
      <c r="AH100" s="4">
        <v>2145</v>
      </c>
      <c r="AI100" s="4">
        <v>2289</v>
      </c>
      <c r="AJ100" s="4">
        <v>2619</v>
      </c>
      <c r="AK100" s="4">
        <v>3181</v>
      </c>
      <c r="AL100" s="4">
        <v>4095</v>
      </c>
      <c r="AM100" s="4">
        <v>3818</v>
      </c>
      <c r="AN100" s="4">
        <v>3983</v>
      </c>
      <c r="AO100" s="4">
        <v>5464</v>
      </c>
      <c r="AP100" s="4">
        <v>5561</v>
      </c>
      <c r="AQ100" s="4">
        <v>6474</v>
      </c>
      <c r="AR100" s="4">
        <v>6424</v>
      </c>
      <c r="AS100" s="4">
        <v>6706</v>
      </c>
      <c r="AT100" s="4">
        <v>5960</v>
      </c>
      <c r="AU100" s="4">
        <v>6732</v>
      </c>
      <c r="AV100" s="4">
        <v>7422</v>
      </c>
      <c r="AW100" s="4">
        <v>7394</v>
      </c>
      <c r="AX100" s="4">
        <v>7359</v>
      </c>
      <c r="AY100" s="4">
        <v>7949</v>
      </c>
      <c r="AZ100" s="4">
        <v>8606</v>
      </c>
      <c r="BA100" s="4">
        <v>8804</v>
      </c>
      <c r="BB100" s="4">
        <v>8451</v>
      </c>
      <c r="BC100" s="4">
        <v>8624</v>
      </c>
      <c r="BD100" s="4">
        <v>8877</v>
      </c>
      <c r="BE100" s="4">
        <v>9113</v>
      </c>
      <c r="BF100" s="4">
        <v>9913</v>
      </c>
      <c r="BG100" s="4">
        <v>11268</v>
      </c>
      <c r="BH100" s="4">
        <v>12829</v>
      </c>
      <c r="BI100" s="4">
        <v>14131</v>
      </c>
      <c r="BJ100" s="4">
        <v>15737</v>
      </c>
    </row>
    <row r="101" spans="2:62" ht="16" x14ac:dyDescent="0.2">
      <c r="B101" s="6" t="s">
        <v>110</v>
      </c>
      <c r="C101" s="3" t="s">
        <v>94</v>
      </c>
      <c r="D101" s="4">
        <v>144</v>
      </c>
      <c r="E101" s="4">
        <v>158</v>
      </c>
      <c r="F101" s="4">
        <v>181</v>
      </c>
      <c r="G101" s="4">
        <v>200</v>
      </c>
      <c r="H101" s="4">
        <v>232</v>
      </c>
      <c r="I101" s="4">
        <v>248</v>
      </c>
      <c r="J101" s="4">
        <v>275</v>
      </c>
      <c r="K101" s="4">
        <v>307</v>
      </c>
      <c r="L101" s="4">
        <v>366</v>
      </c>
      <c r="M101" s="4">
        <v>411</v>
      </c>
      <c r="N101" s="4">
        <v>482</v>
      </c>
      <c r="O101" s="4">
        <v>581</v>
      </c>
      <c r="P101" s="4">
        <v>684</v>
      </c>
      <c r="Q101" s="4">
        <v>779</v>
      </c>
      <c r="R101" s="4">
        <v>857</v>
      </c>
      <c r="S101" s="4">
        <v>901</v>
      </c>
      <c r="T101" s="4">
        <v>1033</v>
      </c>
      <c r="U101" s="4">
        <v>1138</v>
      </c>
      <c r="V101" s="4">
        <v>1427</v>
      </c>
      <c r="W101" s="4">
        <v>1796</v>
      </c>
      <c r="X101" s="4">
        <v>2163</v>
      </c>
      <c r="Y101" s="4">
        <v>2400</v>
      </c>
      <c r="Z101" s="4">
        <v>2519</v>
      </c>
      <c r="AA101" s="4">
        <v>2611</v>
      </c>
      <c r="AB101" s="4">
        <v>2522</v>
      </c>
      <c r="AC101" s="4">
        <v>2580</v>
      </c>
      <c r="AD101" s="4">
        <v>3145</v>
      </c>
      <c r="AE101" s="4">
        <v>4008</v>
      </c>
      <c r="AF101" s="4">
        <v>3485</v>
      </c>
      <c r="AG101" s="4">
        <v>3820</v>
      </c>
      <c r="AH101" s="4">
        <v>4210</v>
      </c>
      <c r="AI101" s="4">
        <v>4532</v>
      </c>
      <c r="AJ101" s="4">
        <v>5080</v>
      </c>
      <c r="AK101" s="4">
        <v>5658</v>
      </c>
      <c r="AL101" s="4">
        <v>6107</v>
      </c>
      <c r="AM101" s="4">
        <v>6893</v>
      </c>
      <c r="AN101" s="4">
        <v>7053</v>
      </c>
      <c r="AO101" s="4">
        <v>7309</v>
      </c>
      <c r="AP101" s="4">
        <v>7564</v>
      </c>
      <c r="AQ101" s="4">
        <v>7891</v>
      </c>
      <c r="AR101" s="4">
        <v>8697</v>
      </c>
      <c r="AS101" s="4">
        <v>9852</v>
      </c>
      <c r="AT101" s="4">
        <v>10227</v>
      </c>
      <c r="AU101" s="4">
        <v>9858</v>
      </c>
      <c r="AV101" s="4">
        <v>9484</v>
      </c>
      <c r="AW101" s="4">
        <v>9569</v>
      </c>
      <c r="AX101" s="4">
        <v>9488</v>
      </c>
      <c r="AY101" s="4">
        <v>9472</v>
      </c>
      <c r="AZ101" s="4">
        <v>9711</v>
      </c>
      <c r="BA101" s="4">
        <v>10398</v>
      </c>
      <c r="BB101" s="4">
        <v>10915</v>
      </c>
      <c r="BC101" s="4">
        <v>11504</v>
      </c>
      <c r="BD101" s="4">
        <v>12238</v>
      </c>
      <c r="BE101" s="4">
        <v>12573</v>
      </c>
      <c r="BF101" s="4">
        <v>12534</v>
      </c>
      <c r="BG101" s="4">
        <v>13430</v>
      </c>
      <c r="BH101" s="4">
        <v>14450</v>
      </c>
      <c r="BI101" s="4">
        <v>15066</v>
      </c>
      <c r="BJ101" s="4">
        <v>15389</v>
      </c>
    </row>
    <row r="102" spans="2:62" ht="16" x14ac:dyDescent="0.2">
      <c r="B102" s="6" t="s">
        <v>108</v>
      </c>
      <c r="C102" s="3" t="s">
        <v>96</v>
      </c>
      <c r="D102" s="4">
        <v>3292</v>
      </c>
      <c r="E102" s="4">
        <v>3859</v>
      </c>
      <c r="F102" s="4">
        <v>4443</v>
      </c>
      <c r="G102" s="4">
        <v>5179</v>
      </c>
      <c r="H102" s="4">
        <v>6109</v>
      </c>
      <c r="I102" s="4">
        <v>7189</v>
      </c>
      <c r="J102" s="4">
        <v>7881</v>
      </c>
      <c r="K102" s="4">
        <v>8888</v>
      </c>
      <c r="L102" s="4">
        <v>10382</v>
      </c>
      <c r="M102" s="4">
        <v>12187</v>
      </c>
      <c r="N102" s="4">
        <v>13841</v>
      </c>
      <c r="O102" s="4">
        <v>15097</v>
      </c>
      <c r="P102" s="4">
        <v>16976</v>
      </c>
      <c r="Q102" s="4">
        <v>18988</v>
      </c>
      <c r="R102" s="4">
        <v>21370</v>
      </c>
      <c r="S102" s="4">
        <v>24222</v>
      </c>
      <c r="T102" s="4">
        <v>28086</v>
      </c>
      <c r="U102" s="4">
        <v>30402</v>
      </c>
      <c r="V102" s="4">
        <v>31186</v>
      </c>
      <c r="W102" s="4">
        <v>32466</v>
      </c>
      <c r="X102" s="4">
        <v>32856</v>
      </c>
      <c r="Y102" s="4">
        <v>36048</v>
      </c>
      <c r="Z102" s="4">
        <v>37674</v>
      </c>
      <c r="AA102" s="4">
        <v>39206</v>
      </c>
      <c r="AB102" s="4">
        <v>39725</v>
      </c>
      <c r="AC102" s="4">
        <v>40892</v>
      </c>
      <c r="AD102" s="4">
        <v>42477</v>
      </c>
      <c r="AE102" s="4">
        <v>43369</v>
      </c>
      <c r="AF102" s="4">
        <v>43370</v>
      </c>
      <c r="AG102" s="4">
        <v>44408</v>
      </c>
      <c r="AH102" s="4">
        <v>45994</v>
      </c>
      <c r="AI102" s="4">
        <v>47647</v>
      </c>
      <c r="AJ102" s="4">
        <v>48919</v>
      </c>
      <c r="AK102" s="4">
        <v>51772</v>
      </c>
      <c r="AL102" s="4">
        <v>51683</v>
      </c>
      <c r="AM102" s="4">
        <v>53678</v>
      </c>
      <c r="AN102" s="4">
        <v>56087</v>
      </c>
      <c r="AO102" s="4">
        <v>57892</v>
      </c>
      <c r="AP102" s="4">
        <v>59351</v>
      </c>
      <c r="AQ102" s="4">
        <v>60852</v>
      </c>
      <c r="AR102" s="4">
        <v>62167</v>
      </c>
      <c r="AS102" s="4">
        <v>62037</v>
      </c>
      <c r="AT102" s="4">
        <v>65550</v>
      </c>
      <c r="AU102" s="4">
        <v>69638</v>
      </c>
      <c r="AV102" s="4">
        <v>72584</v>
      </c>
      <c r="AW102" s="4">
        <v>71229</v>
      </c>
      <c r="AX102" s="4">
        <v>72016</v>
      </c>
      <c r="AY102" s="4">
        <v>71258</v>
      </c>
      <c r="AZ102" s="4">
        <v>71023</v>
      </c>
      <c r="BA102" s="4">
        <v>71930</v>
      </c>
      <c r="BB102" s="4">
        <v>72763</v>
      </c>
      <c r="BC102" s="4">
        <v>73537</v>
      </c>
      <c r="BD102" s="4">
        <v>75580</v>
      </c>
      <c r="BE102" s="4">
        <v>79358</v>
      </c>
      <c r="BF102" s="4">
        <v>81877</v>
      </c>
      <c r="BG102" s="4">
        <v>85049</v>
      </c>
      <c r="BH102" s="4">
        <v>87506</v>
      </c>
      <c r="BI102" s="4">
        <v>90935</v>
      </c>
      <c r="BJ102" s="4">
        <v>96988</v>
      </c>
    </row>
    <row r="103" spans="2:62" ht="16" x14ac:dyDescent="0.2">
      <c r="B103" s="6" t="s">
        <v>108</v>
      </c>
      <c r="C103" s="3" t="s">
        <v>97</v>
      </c>
      <c r="D103" s="4">
        <v>2729</v>
      </c>
      <c r="E103" s="4">
        <v>3258</v>
      </c>
      <c r="F103" s="4">
        <v>3653</v>
      </c>
      <c r="G103" s="4">
        <v>4463</v>
      </c>
      <c r="H103" s="4">
        <v>5343</v>
      </c>
      <c r="I103" s="4">
        <v>6168</v>
      </c>
      <c r="J103" s="4">
        <v>6975</v>
      </c>
      <c r="K103" s="4">
        <v>7807</v>
      </c>
      <c r="L103" s="4">
        <v>9056</v>
      </c>
      <c r="M103" s="4">
        <v>10867</v>
      </c>
      <c r="N103" s="4">
        <v>12327</v>
      </c>
      <c r="O103" s="4">
        <v>13474</v>
      </c>
      <c r="P103" s="4">
        <v>14855</v>
      </c>
      <c r="Q103" s="4">
        <v>16601</v>
      </c>
      <c r="R103" s="4">
        <v>18582</v>
      </c>
      <c r="S103" s="4">
        <v>20974</v>
      </c>
      <c r="T103" s="4">
        <v>23794</v>
      </c>
      <c r="U103" s="4">
        <v>25356</v>
      </c>
      <c r="V103" s="4">
        <v>26654</v>
      </c>
      <c r="W103" s="4">
        <v>27371</v>
      </c>
      <c r="X103" s="4">
        <v>28679</v>
      </c>
      <c r="Y103" s="4">
        <v>32073</v>
      </c>
      <c r="Z103" s="4">
        <v>34555</v>
      </c>
      <c r="AA103" s="4">
        <v>35733</v>
      </c>
      <c r="AB103" s="4">
        <v>35343</v>
      </c>
      <c r="AC103" s="4">
        <v>37846</v>
      </c>
      <c r="AD103" s="4">
        <v>39246</v>
      </c>
      <c r="AE103" s="4">
        <v>40471</v>
      </c>
      <c r="AF103" s="4">
        <v>42664</v>
      </c>
      <c r="AG103" s="4">
        <v>43187</v>
      </c>
      <c r="AH103" s="4">
        <v>45161</v>
      </c>
      <c r="AI103" s="4">
        <v>46476</v>
      </c>
      <c r="AJ103" s="4">
        <v>49717</v>
      </c>
      <c r="AK103" s="4">
        <v>51985</v>
      </c>
      <c r="AL103" s="4">
        <v>55062</v>
      </c>
      <c r="AM103" s="4">
        <v>57537</v>
      </c>
      <c r="AN103" s="4">
        <v>60764</v>
      </c>
      <c r="AO103" s="4">
        <v>62180</v>
      </c>
      <c r="AP103" s="4">
        <v>65283</v>
      </c>
      <c r="AQ103" s="4">
        <v>67130</v>
      </c>
      <c r="AR103" s="4">
        <v>69932</v>
      </c>
      <c r="AS103" s="4">
        <v>70720</v>
      </c>
      <c r="AT103" s="4">
        <v>76600</v>
      </c>
      <c r="AU103" s="4">
        <v>82107</v>
      </c>
      <c r="AV103" s="4">
        <v>85537</v>
      </c>
      <c r="AW103" s="4">
        <v>86004</v>
      </c>
      <c r="AX103" s="4">
        <v>87964</v>
      </c>
      <c r="AY103" s="4">
        <v>88110</v>
      </c>
      <c r="AZ103" s="4">
        <v>93264</v>
      </c>
      <c r="BA103" s="4">
        <v>95651</v>
      </c>
      <c r="BB103" s="4">
        <v>96845</v>
      </c>
      <c r="BC103" s="4">
        <v>96801</v>
      </c>
      <c r="BD103" s="4">
        <v>98778</v>
      </c>
      <c r="BE103" s="4">
        <v>100295</v>
      </c>
      <c r="BF103" s="4">
        <v>100081</v>
      </c>
      <c r="BG103" s="4">
        <v>104388</v>
      </c>
      <c r="BH103" s="4">
        <v>107447</v>
      </c>
      <c r="BI103" s="4">
        <v>110350</v>
      </c>
      <c r="BJ103" s="4">
        <v>116118</v>
      </c>
    </row>
    <row r="104" spans="2:62" ht="16" x14ac:dyDescent="0.2">
      <c r="B104" s="6" t="s">
        <v>108</v>
      </c>
      <c r="C104" s="3" t="s">
        <v>98</v>
      </c>
      <c r="D104" s="4">
        <v>1819</v>
      </c>
      <c r="E104" s="4">
        <v>2072</v>
      </c>
      <c r="F104" s="4">
        <v>2458</v>
      </c>
      <c r="G104" s="4">
        <v>2845</v>
      </c>
      <c r="H104" s="4">
        <v>3448</v>
      </c>
      <c r="I104" s="4">
        <v>4361</v>
      </c>
      <c r="J104" s="4">
        <v>5122</v>
      </c>
      <c r="K104" s="4">
        <v>5663</v>
      </c>
      <c r="L104" s="4">
        <v>7194</v>
      </c>
      <c r="M104" s="4">
        <v>8394</v>
      </c>
      <c r="N104" s="4">
        <v>9555</v>
      </c>
      <c r="O104" s="4">
        <v>10294</v>
      </c>
      <c r="P104" s="4">
        <v>11308</v>
      </c>
      <c r="Q104" s="4">
        <v>12447</v>
      </c>
      <c r="R104" s="4">
        <v>13844</v>
      </c>
      <c r="S104" s="4">
        <v>15543</v>
      </c>
      <c r="T104" s="4">
        <v>18400</v>
      </c>
      <c r="U104" s="4">
        <v>19723</v>
      </c>
      <c r="V104" s="4">
        <v>19861</v>
      </c>
      <c r="W104" s="4">
        <v>21211</v>
      </c>
      <c r="X104" s="4">
        <v>21602</v>
      </c>
      <c r="Y104" s="4">
        <v>22982</v>
      </c>
      <c r="Z104" s="4">
        <v>25710</v>
      </c>
      <c r="AA104" s="4">
        <v>26138</v>
      </c>
      <c r="AB104" s="4">
        <v>27239</v>
      </c>
      <c r="AC104" s="4">
        <v>28257</v>
      </c>
      <c r="AD104" s="4">
        <v>28718</v>
      </c>
      <c r="AE104" s="4">
        <v>29533</v>
      </c>
      <c r="AF104" s="4">
        <v>29604</v>
      </c>
      <c r="AG104" s="4">
        <v>29262</v>
      </c>
      <c r="AH104" s="4">
        <v>30834</v>
      </c>
      <c r="AI104" s="4">
        <v>31854</v>
      </c>
      <c r="AJ104" s="4">
        <v>33690</v>
      </c>
      <c r="AK104" s="4">
        <v>36085</v>
      </c>
      <c r="AL104" s="4">
        <v>37338</v>
      </c>
      <c r="AM104" s="4">
        <v>39531</v>
      </c>
      <c r="AN104" s="4">
        <v>41480</v>
      </c>
      <c r="AO104" s="4">
        <v>43819</v>
      </c>
      <c r="AP104" s="4">
        <v>46025</v>
      </c>
      <c r="AQ104" s="4">
        <v>47982</v>
      </c>
      <c r="AR104" s="4">
        <v>50584</v>
      </c>
      <c r="AS104" s="4">
        <v>54024</v>
      </c>
      <c r="AT104" s="4">
        <v>57149</v>
      </c>
      <c r="AU104" s="4">
        <v>62715</v>
      </c>
      <c r="AV104" s="4">
        <v>65144</v>
      </c>
      <c r="AW104" s="4">
        <v>65200</v>
      </c>
      <c r="AX104" s="4">
        <v>66630</v>
      </c>
      <c r="AY104" s="4">
        <v>75630</v>
      </c>
      <c r="AZ104" s="4">
        <v>77626</v>
      </c>
      <c r="BA104" s="4">
        <v>78979</v>
      </c>
      <c r="BB104" s="4">
        <v>81199</v>
      </c>
      <c r="BC104" s="4">
        <v>84290</v>
      </c>
      <c r="BD104" s="4">
        <v>86719</v>
      </c>
      <c r="BE104" s="4">
        <v>89128</v>
      </c>
      <c r="BF104" s="4">
        <v>93695</v>
      </c>
      <c r="BG104" s="4">
        <v>104015</v>
      </c>
      <c r="BH104" s="4">
        <v>107513</v>
      </c>
      <c r="BI104" s="4">
        <v>110387</v>
      </c>
      <c r="BJ104" s="4">
        <v>116325</v>
      </c>
    </row>
    <row r="105" spans="2:62" ht="16" x14ac:dyDescent="0.2">
      <c r="B105" s="6" t="s">
        <v>108</v>
      </c>
      <c r="C105" s="3" t="s">
        <v>99</v>
      </c>
      <c r="D105" s="4">
        <v>1449</v>
      </c>
      <c r="E105" s="4">
        <v>1672</v>
      </c>
      <c r="F105" s="4">
        <v>1960</v>
      </c>
      <c r="G105" s="4">
        <v>2277</v>
      </c>
      <c r="H105" s="4">
        <v>2764</v>
      </c>
      <c r="I105" s="4">
        <v>3427</v>
      </c>
      <c r="J105" s="4">
        <v>4228</v>
      </c>
      <c r="K105" s="4">
        <v>5331</v>
      </c>
      <c r="L105" s="4">
        <v>6599</v>
      </c>
      <c r="M105" s="4">
        <v>7463</v>
      </c>
      <c r="N105" s="4">
        <v>8724</v>
      </c>
      <c r="O105" s="4">
        <v>10371</v>
      </c>
      <c r="P105" s="4">
        <v>12207</v>
      </c>
      <c r="Q105" s="4">
        <v>14207</v>
      </c>
      <c r="R105" s="4">
        <v>16197</v>
      </c>
      <c r="S105" s="4">
        <v>18745</v>
      </c>
      <c r="T105" s="4">
        <v>22312</v>
      </c>
      <c r="U105" s="4">
        <v>24121</v>
      </c>
      <c r="V105" s="4">
        <v>25200</v>
      </c>
      <c r="W105" s="4">
        <v>27084</v>
      </c>
      <c r="X105" s="4">
        <v>28922</v>
      </c>
      <c r="Y105" s="4">
        <v>31726</v>
      </c>
      <c r="Z105" s="4">
        <v>35543</v>
      </c>
      <c r="AA105" s="4">
        <v>37305</v>
      </c>
      <c r="AB105" s="4">
        <v>38589</v>
      </c>
      <c r="AC105" s="4">
        <v>39850</v>
      </c>
      <c r="AD105" s="4">
        <v>41895</v>
      </c>
      <c r="AE105" s="4">
        <v>44494</v>
      </c>
      <c r="AF105" s="4">
        <v>46496</v>
      </c>
      <c r="AG105" s="4">
        <v>49309</v>
      </c>
      <c r="AH105" s="4">
        <v>52546</v>
      </c>
      <c r="AI105" s="4">
        <v>55377</v>
      </c>
      <c r="AJ105" s="4">
        <v>59311</v>
      </c>
      <c r="AK105" s="4">
        <v>61290</v>
      </c>
      <c r="AL105" s="4">
        <v>64195</v>
      </c>
      <c r="AM105" s="4">
        <v>67848</v>
      </c>
      <c r="AN105" s="4">
        <v>70611</v>
      </c>
      <c r="AO105" s="4">
        <v>72964</v>
      </c>
      <c r="AP105" s="4">
        <v>74814</v>
      </c>
      <c r="AQ105" s="4">
        <v>76154</v>
      </c>
      <c r="AR105" s="4">
        <v>80587</v>
      </c>
      <c r="AS105" s="4">
        <v>81581</v>
      </c>
      <c r="AT105" s="4">
        <v>85827</v>
      </c>
      <c r="AU105" s="4">
        <v>92214</v>
      </c>
      <c r="AV105" s="4">
        <v>94663</v>
      </c>
      <c r="AW105" s="4">
        <v>92619</v>
      </c>
      <c r="AX105" s="4">
        <v>93114</v>
      </c>
      <c r="AY105" s="4">
        <v>94548</v>
      </c>
      <c r="AZ105" s="4">
        <v>93924</v>
      </c>
      <c r="BA105" s="4">
        <v>94145</v>
      </c>
      <c r="BB105" s="4">
        <v>94482</v>
      </c>
      <c r="BC105" s="4">
        <v>96309</v>
      </c>
      <c r="BD105" s="4">
        <v>98627</v>
      </c>
      <c r="BE105" s="4">
        <v>101030</v>
      </c>
      <c r="BF105" s="4">
        <v>103205</v>
      </c>
      <c r="BG105" s="4">
        <v>106616</v>
      </c>
      <c r="BH105" s="4">
        <v>111141</v>
      </c>
      <c r="BI105" s="4">
        <v>115341</v>
      </c>
      <c r="BJ105" s="4">
        <v>121711</v>
      </c>
    </row>
    <row r="106" spans="2:62" ht="16" x14ac:dyDescent="0.2">
      <c r="B106" s="6" t="s">
        <v>108</v>
      </c>
      <c r="C106" s="3" t="s">
        <v>100</v>
      </c>
      <c r="D106" s="4">
        <v>342</v>
      </c>
      <c r="E106" s="4">
        <v>404</v>
      </c>
      <c r="F106" s="4">
        <v>464</v>
      </c>
      <c r="G106" s="4">
        <v>545</v>
      </c>
      <c r="H106" s="4">
        <v>629</v>
      </c>
      <c r="I106" s="4">
        <v>774</v>
      </c>
      <c r="J106" s="4">
        <v>880</v>
      </c>
      <c r="K106" s="4">
        <v>1035</v>
      </c>
      <c r="L106" s="4">
        <v>1220</v>
      </c>
      <c r="M106" s="4">
        <v>1457</v>
      </c>
      <c r="N106" s="4">
        <v>1673</v>
      </c>
      <c r="O106" s="4">
        <v>1933</v>
      </c>
      <c r="P106" s="4">
        <v>2185</v>
      </c>
      <c r="Q106" s="4">
        <v>2408</v>
      </c>
      <c r="R106" s="4">
        <v>2606</v>
      </c>
      <c r="S106" s="4">
        <v>2990</v>
      </c>
      <c r="T106" s="4">
        <v>3454</v>
      </c>
      <c r="U106" s="4">
        <v>3721</v>
      </c>
      <c r="V106" s="4">
        <v>3999</v>
      </c>
      <c r="W106" s="4">
        <v>4257</v>
      </c>
      <c r="X106" s="4">
        <v>4442</v>
      </c>
      <c r="Y106" s="4">
        <v>4563</v>
      </c>
      <c r="Z106" s="4">
        <v>5283</v>
      </c>
      <c r="AA106" s="4">
        <v>6143</v>
      </c>
      <c r="AB106" s="4">
        <v>6376</v>
      </c>
      <c r="AC106" s="4">
        <v>6854</v>
      </c>
      <c r="AD106" s="4">
        <v>7110</v>
      </c>
      <c r="AE106" s="4">
        <v>6996</v>
      </c>
      <c r="AF106" s="4">
        <v>7060</v>
      </c>
      <c r="AG106" s="4">
        <v>7247</v>
      </c>
      <c r="AH106" s="4">
        <v>7735</v>
      </c>
      <c r="AI106" s="4">
        <v>8169</v>
      </c>
      <c r="AJ106" s="4">
        <v>8681</v>
      </c>
      <c r="AK106" s="4">
        <v>8930</v>
      </c>
      <c r="AL106" s="4">
        <v>9275</v>
      </c>
      <c r="AM106" s="4">
        <v>9891</v>
      </c>
      <c r="AN106" s="4">
        <v>10166</v>
      </c>
      <c r="AO106" s="4">
        <v>10592</v>
      </c>
      <c r="AP106" s="4">
        <v>10884</v>
      </c>
      <c r="AQ106" s="4">
        <v>11373</v>
      </c>
      <c r="AR106" s="4">
        <v>12266</v>
      </c>
      <c r="AS106" s="4">
        <v>12689</v>
      </c>
      <c r="AT106" s="4">
        <v>13476</v>
      </c>
      <c r="AU106" s="4">
        <v>13925</v>
      </c>
      <c r="AV106" s="4">
        <v>14081</v>
      </c>
      <c r="AW106" s="4">
        <v>14208</v>
      </c>
      <c r="AX106" s="4">
        <v>14722</v>
      </c>
      <c r="AY106" s="4">
        <v>14482</v>
      </c>
      <c r="AZ106" s="4">
        <v>14839</v>
      </c>
      <c r="BA106" s="4">
        <v>15142</v>
      </c>
      <c r="BB106" s="4">
        <v>15488</v>
      </c>
      <c r="BC106" s="4">
        <v>15951</v>
      </c>
      <c r="BD106" s="4">
        <v>16724</v>
      </c>
      <c r="BE106" s="4">
        <v>17407</v>
      </c>
      <c r="BF106" s="4">
        <v>17201</v>
      </c>
      <c r="BG106" s="4">
        <v>17862</v>
      </c>
      <c r="BH106" s="4">
        <v>19525</v>
      </c>
      <c r="BI106" s="4">
        <v>20610</v>
      </c>
      <c r="BJ106" s="4">
        <v>21689</v>
      </c>
    </row>
    <row r="108" spans="2:62" x14ac:dyDescent="0.2">
      <c r="C108">
        <v>2024</v>
      </c>
      <c r="D108" s="8" t="s">
        <v>143</v>
      </c>
      <c r="E108" s="8" t="s">
        <v>144</v>
      </c>
      <c r="F108" t="s">
        <v>104</v>
      </c>
    </row>
    <row r="109" spans="2:62" x14ac:dyDescent="0.2">
      <c r="C109" s="3" t="s">
        <v>108</v>
      </c>
      <c r="D109" s="8">
        <f>SUMIF(B75:B106, "C",BJ75:BJ106)</f>
        <v>879465</v>
      </c>
      <c r="E109" s="8">
        <f>SUMIF(B41:B72, "C", BJ41:BJ72)</f>
        <v>1206315</v>
      </c>
      <c r="F109" s="9">
        <f>D109/E109</f>
        <v>0.72905086979768963</v>
      </c>
    </row>
    <row r="110" spans="2:62" x14ac:dyDescent="0.2">
      <c r="C110" s="3" t="s">
        <v>110</v>
      </c>
      <c r="D110" s="8">
        <f>SUMIF(B75:B106, "I",BJ75:BJ106)</f>
        <v>488326</v>
      </c>
      <c r="E110" s="8">
        <f>SUMIF(B41:B72, "I", BJ41:BJ72)</f>
        <v>958644</v>
      </c>
      <c r="F110" s="9">
        <f>D110/E110</f>
        <v>0.50939243347895569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4B2C-FB71-664B-91FD-D8F248262CFF}">
  <dimension ref="C1:D41"/>
  <sheetViews>
    <sheetView topLeftCell="D3" zoomScale="150" workbookViewId="0">
      <selection activeCell="O9" sqref="O9"/>
    </sheetView>
  </sheetViews>
  <sheetFormatPr baseColWidth="10" defaultRowHeight="15" x14ac:dyDescent="0.2"/>
  <sheetData>
    <row r="1" spans="3:4" x14ac:dyDescent="0.2">
      <c r="C1" t="s">
        <v>105</v>
      </c>
      <c r="D1" t="s">
        <v>106</v>
      </c>
    </row>
    <row r="2" spans="3:4" x14ac:dyDescent="0.2">
      <c r="C2" s="3" t="s">
        <v>102</v>
      </c>
      <c r="D2" s="5">
        <v>1</v>
      </c>
    </row>
    <row r="3" spans="3:4" x14ac:dyDescent="0.2">
      <c r="C3" s="3" t="s">
        <v>99</v>
      </c>
      <c r="D3" s="5">
        <v>0.9763984821865499</v>
      </c>
    </row>
    <row r="4" spans="3:4" x14ac:dyDescent="0.2">
      <c r="C4" s="3" t="s">
        <v>98</v>
      </c>
      <c r="D4" s="5">
        <v>0.93883925328684537</v>
      </c>
    </row>
    <row r="5" spans="3:4" x14ac:dyDescent="0.2">
      <c r="C5" s="3" t="s">
        <v>64</v>
      </c>
      <c r="D5" s="5">
        <v>0.86176882517712972</v>
      </c>
    </row>
    <row r="6" spans="3:4" x14ac:dyDescent="0.2">
      <c r="C6" s="3" t="s">
        <v>97</v>
      </c>
      <c r="D6" s="5">
        <v>0.83722439326863451</v>
      </c>
    </row>
    <row r="7" spans="3:4" x14ac:dyDescent="0.2">
      <c r="C7" s="3" t="s">
        <v>95</v>
      </c>
      <c r="D7" s="5">
        <v>0.83505021557844727</v>
      </c>
    </row>
    <row r="8" spans="3:4" x14ac:dyDescent="0.2">
      <c r="C8" s="3" t="s">
        <v>82</v>
      </c>
      <c r="D8" s="5">
        <v>0.8041233818123702</v>
      </c>
    </row>
    <row r="9" spans="3:4" x14ac:dyDescent="0.2">
      <c r="C9" s="3" t="s">
        <v>92</v>
      </c>
      <c r="D9" s="5">
        <v>0.79917836126848896</v>
      </c>
    </row>
    <row r="10" spans="3:4" x14ac:dyDescent="0.2">
      <c r="C10" s="3" t="s">
        <v>96</v>
      </c>
      <c r="D10" s="5">
        <v>0.79677962620661325</v>
      </c>
    </row>
    <row r="11" spans="3:4" x14ac:dyDescent="0.2">
      <c r="C11" s="3" t="s">
        <v>85</v>
      </c>
      <c r="D11" s="5">
        <v>0.78832878662080419</v>
      </c>
    </row>
    <row r="12" spans="3:4" x14ac:dyDescent="0.2">
      <c r="C12" s="3" t="s">
        <v>74</v>
      </c>
      <c r="D12" s="5">
        <v>0.74107523823069266</v>
      </c>
    </row>
    <row r="13" spans="3:4" x14ac:dyDescent="0.2">
      <c r="C13" s="3" t="s">
        <v>83</v>
      </c>
      <c r="D13" s="5">
        <v>0.72768264296312435</v>
      </c>
    </row>
    <row r="14" spans="3:4" x14ac:dyDescent="0.2">
      <c r="C14" s="3" t="s">
        <v>69</v>
      </c>
      <c r="D14" s="5">
        <v>0.72359550561797747</v>
      </c>
    </row>
    <row r="15" spans="3:4" x14ac:dyDescent="0.2">
      <c r="C15" s="3" t="s">
        <v>101</v>
      </c>
      <c r="D15" s="5">
        <v>0.70857947330646498</v>
      </c>
    </row>
    <row r="16" spans="3:4" x14ac:dyDescent="0.2">
      <c r="C16" s="3" t="s">
        <v>88</v>
      </c>
      <c r="D16" s="5">
        <v>0.68366007153529229</v>
      </c>
    </row>
    <row r="17" spans="3:4" x14ac:dyDescent="0.2">
      <c r="C17" s="3" t="s">
        <v>76</v>
      </c>
      <c r="D17" s="5">
        <v>0.67580440304826417</v>
      </c>
    </row>
    <row r="18" spans="3:4" x14ac:dyDescent="0.2">
      <c r="C18" s="3" t="s">
        <v>68</v>
      </c>
      <c r="D18" s="5">
        <v>0.66187464059804491</v>
      </c>
    </row>
    <row r="19" spans="3:4" x14ac:dyDescent="0.2">
      <c r="C19" s="3" t="s">
        <v>77</v>
      </c>
      <c r="D19" s="5">
        <v>0.64881248666714075</v>
      </c>
    </row>
    <row r="20" spans="3:4" x14ac:dyDescent="0.2">
      <c r="C20" s="3" t="s">
        <v>78</v>
      </c>
      <c r="D20" s="5">
        <v>0.64457632706890866</v>
      </c>
    </row>
    <row r="21" spans="3:4" x14ac:dyDescent="0.2">
      <c r="C21" s="3" t="s">
        <v>67</v>
      </c>
      <c r="D21" s="5">
        <v>0.62294280194654339</v>
      </c>
    </row>
    <row r="22" spans="3:4" x14ac:dyDescent="0.2">
      <c r="C22" s="3" t="s">
        <v>73</v>
      </c>
      <c r="D22" s="5">
        <v>0.62159022259398666</v>
      </c>
    </row>
    <row r="23" spans="3:4" x14ac:dyDescent="0.2">
      <c r="C23" s="3" t="s">
        <v>86</v>
      </c>
      <c r="D23" s="5">
        <v>0.6109008084178108</v>
      </c>
    </row>
    <row r="24" spans="3:4" x14ac:dyDescent="0.2">
      <c r="C24" s="3" t="s">
        <v>94</v>
      </c>
      <c r="D24" s="5">
        <v>0.59628797272163669</v>
      </c>
    </row>
    <row r="25" spans="3:4" x14ac:dyDescent="0.2">
      <c r="C25" s="3" t="s">
        <v>63</v>
      </c>
      <c r="D25" s="5">
        <v>0.58016709268747813</v>
      </c>
    </row>
    <row r="26" spans="3:4" x14ac:dyDescent="0.2">
      <c r="C26" s="3" t="s">
        <v>100</v>
      </c>
      <c r="D26" s="5">
        <v>0.57764934615282182</v>
      </c>
    </row>
    <row r="27" spans="3:4" x14ac:dyDescent="0.2">
      <c r="C27" s="3" t="s">
        <v>80</v>
      </c>
      <c r="D27" s="5">
        <v>0.5489169675090253</v>
      </c>
    </row>
    <row r="28" spans="3:4" x14ac:dyDescent="0.2">
      <c r="C28" s="3" t="s">
        <v>65</v>
      </c>
      <c r="D28" s="5">
        <v>0.53080690899716421</v>
      </c>
    </row>
    <row r="29" spans="3:4" x14ac:dyDescent="0.2">
      <c r="C29" s="3" t="s">
        <v>84</v>
      </c>
      <c r="D29" s="5">
        <v>0.47829461375278109</v>
      </c>
    </row>
    <row r="30" spans="3:4" x14ac:dyDescent="0.2">
      <c r="C30" s="3" t="s">
        <v>93</v>
      </c>
      <c r="D30" s="5">
        <v>0.46145500395859601</v>
      </c>
    </row>
    <row r="31" spans="3:4" x14ac:dyDescent="0.2">
      <c r="C31" s="3" t="s">
        <v>89</v>
      </c>
      <c r="D31" s="5">
        <v>0.44308840445529274</v>
      </c>
    </row>
    <row r="32" spans="3:4" x14ac:dyDescent="0.2">
      <c r="C32" s="3" t="s">
        <v>75</v>
      </c>
      <c r="D32" s="5">
        <v>0.434126679462572</v>
      </c>
    </row>
    <row r="33" spans="3:4" x14ac:dyDescent="0.2">
      <c r="C33" s="3" t="s">
        <v>79</v>
      </c>
      <c r="D33" s="5">
        <v>0.42541935212982596</v>
      </c>
    </row>
    <row r="34" spans="3:4" x14ac:dyDescent="0.2">
      <c r="C34" s="3" t="s">
        <v>87</v>
      </c>
      <c r="D34" s="5">
        <v>0.38052366040361862</v>
      </c>
    </row>
    <row r="35" spans="3:4" x14ac:dyDescent="0.2">
      <c r="C35" s="3" t="s">
        <v>81</v>
      </c>
      <c r="D35" s="5">
        <v>0.355281207133059</v>
      </c>
    </row>
    <row r="36" spans="3:4" x14ac:dyDescent="0.2">
      <c r="C36" s="3" t="s">
        <v>71</v>
      </c>
      <c r="D36" s="5">
        <v>0.30952113519787339</v>
      </c>
    </row>
    <row r="37" spans="3:4" x14ac:dyDescent="0.2">
      <c r="C37" s="3" t="s">
        <v>66</v>
      </c>
      <c r="D37" s="5">
        <v>0.27537116127720157</v>
      </c>
    </row>
    <row r="38" spans="3:4" x14ac:dyDescent="0.2">
      <c r="C38" s="3" t="s">
        <v>90</v>
      </c>
      <c r="D38" s="5">
        <v>0.20410121117640004</v>
      </c>
    </row>
    <row r="39" spans="3:4" x14ac:dyDescent="0.2">
      <c r="C39" s="3" t="s">
        <v>70</v>
      </c>
      <c r="D39" s="5">
        <v>0.19121849831124968</v>
      </c>
    </row>
    <row r="40" spans="3:4" x14ac:dyDescent="0.2">
      <c r="C40" s="3" t="s">
        <v>72</v>
      </c>
      <c r="D40" s="5">
        <v>0.14672175943560273</v>
      </c>
    </row>
    <row r="41" spans="3:4" x14ac:dyDescent="0.2">
      <c r="C41" s="3" t="s">
        <v>91</v>
      </c>
      <c r="D41" s="5">
        <v>4.0373875667452805E-2</v>
      </c>
    </row>
  </sheetData>
  <autoFilter ref="C1:D1" xr:uid="{F3144B2C-FB71-664B-91FD-D8F248262CFF}">
    <sortState xmlns:xlrd2="http://schemas.microsoft.com/office/spreadsheetml/2017/richdata2" ref="C2:D41">
      <sortCondition descending="1" ref="D1:D4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NABP36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Linus Lindquist</cp:lastModifiedBy>
  <dcterms:created xsi:type="dcterms:W3CDTF">2026-02-09T09:22:25Z</dcterms:created>
  <dcterms:modified xsi:type="dcterms:W3CDTF">2026-02-09T12:14:48Z</dcterms:modified>
</cp:coreProperties>
</file>